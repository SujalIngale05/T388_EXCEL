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EA14EC6E-607E-4AA4-82F7-B5196FBEE5D0}" xr6:coauthVersionLast="47" xr6:coauthVersionMax="47" xr10:uidLastSave="{00000000-0000-0000-0000-000000000000}"/>
  <bookViews>
    <workbookView xWindow="-120" yWindow="-120" windowWidth="29040" windowHeight="15720" xr2:uid="{97914E35-3EC5-46A0-9D29-D522FBEA4F09}"/>
  </bookViews>
  <sheets>
    <sheet name="Sheet1" sheetId="1" r:id="rId1"/>
  </sheets>
  <definedNames>
    <definedName name="grade">Sheet1!$AD$2:$AD$7</definedName>
    <definedName name="marks">Sheet1!$AB$2:$AB$7</definedName>
    <definedName name="student_name">Sheet1!$Z$2:$Z$7</definedName>
    <definedName name="subjects">Sheet1!$AA$2:$AA$7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8" i="1" l="1"/>
  <c r="AE19" i="1"/>
  <c r="AE20" i="1"/>
  <c r="AE21" i="1"/>
  <c r="AE22" i="1"/>
  <c r="AE23" i="1"/>
  <c r="AE24" i="1"/>
  <c r="AE25" i="1"/>
  <c r="AE26" i="1"/>
  <c r="AB10" i="1"/>
  <c r="AG2" i="1"/>
  <c r="AG3" i="1"/>
  <c r="AG4" i="1"/>
  <c r="AG5" i="1"/>
  <c r="AG6" i="1"/>
  <c r="AG7" i="1"/>
  <c r="AF2" i="1"/>
  <c r="AF3" i="1"/>
  <c r="AF4" i="1"/>
  <c r="AF5" i="1"/>
  <c r="AF6" i="1"/>
  <c r="AF7" i="1"/>
  <c r="AD2" i="1"/>
  <c r="AD3" i="1"/>
  <c r="AD4" i="1"/>
  <c r="AD5" i="1"/>
  <c r="AD6" i="1"/>
  <c r="AD7" i="1"/>
  <c r="Q22" i="1"/>
  <c r="Q10" i="1"/>
  <c r="Q9" i="1"/>
  <c r="X4" i="1"/>
  <c r="X3" i="1"/>
  <c r="R10" i="1"/>
  <c r="R9" i="1"/>
  <c r="L26" i="1"/>
  <c r="K11" i="1"/>
  <c r="K20" i="1"/>
  <c r="K16" i="1"/>
  <c r="K14" i="1"/>
  <c r="E6" i="1"/>
  <c r="F6" i="1" s="1"/>
  <c r="E3" i="1"/>
  <c r="F3" i="1" s="1"/>
  <c r="E4" i="1"/>
  <c r="F4" i="1" s="1"/>
  <c r="E5" i="1"/>
  <c r="F5" i="1" s="1"/>
  <c r="E2" i="1"/>
  <c r="F2" i="1" s="1"/>
</calcChain>
</file>

<file path=xl/sharedStrings.xml><?xml version="1.0" encoding="utf-8"?>
<sst xmlns="http://schemas.openxmlformats.org/spreadsheetml/2006/main" count="159" uniqueCount="99">
  <si>
    <t>ID</t>
  </si>
  <si>
    <t>NAME</t>
  </si>
  <si>
    <t>SALARY</t>
  </si>
  <si>
    <t>Suman</t>
  </si>
  <si>
    <t>Amar</t>
  </si>
  <si>
    <t>Kiran</t>
  </si>
  <si>
    <t>AGE</t>
  </si>
  <si>
    <t>ctrl+z</t>
  </si>
  <si>
    <t>undo</t>
  </si>
  <si>
    <t>BONUS</t>
  </si>
  <si>
    <t>ctrl+y</t>
  </si>
  <si>
    <t>redo</t>
  </si>
  <si>
    <t>ctrl+A</t>
  </si>
  <si>
    <t>SELECT ALL</t>
  </si>
  <si>
    <t>TOTAL SALARY</t>
  </si>
  <si>
    <t>ctrl+N</t>
  </si>
  <si>
    <t>NEW FILE</t>
  </si>
  <si>
    <t>Ajit Kumar</t>
  </si>
  <si>
    <t>ctrl+f</t>
  </si>
  <si>
    <t>To Find</t>
  </si>
  <si>
    <t>ctrl+h</t>
  </si>
  <si>
    <t>To Replace</t>
  </si>
  <si>
    <t>Aniket</t>
  </si>
  <si>
    <t>Marks</t>
  </si>
  <si>
    <t>ank.23@gmail.com</t>
  </si>
  <si>
    <t>suk.25@gmail.com</t>
  </si>
  <si>
    <t>kik.26@gmail.com</t>
  </si>
  <si>
    <t>amk.27@gmail.com</t>
  </si>
  <si>
    <t>ajk.25@gmail.com</t>
  </si>
  <si>
    <t>Raj</t>
  </si>
  <si>
    <t>GMAILS</t>
  </si>
  <si>
    <t>MONTH</t>
  </si>
  <si>
    <t>SHARE PRICE</t>
  </si>
  <si>
    <t>PRODUCT</t>
  </si>
  <si>
    <t>SOURCE</t>
  </si>
  <si>
    <t>REMARK</t>
  </si>
  <si>
    <t>UNIT PRICE</t>
  </si>
  <si>
    <t>QTY.</t>
  </si>
  <si>
    <t>SALES</t>
  </si>
  <si>
    <t>Banana</t>
  </si>
  <si>
    <t>Apple</t>
  </si>
  <si>
    <t>Tomato</t>
  </si>
  <si>
    <t>Green Peas</t>
  </si>
  <si>
    <t>Cherry</t>
  </si>
  <si>
    <t>Spinach</t>
  </si>
  <si>
    <t>Fresh</t>
  </si>
  <si>
    <t>Frozen</t>
  </si>
  <si>
    <t>Fruit</t>
  </si>
  <si>
    <t>Vegetable</t>
  </si>
  <si>
    <t>F21</t>
  </si>
  <si>
    <t>Row Label 2</t>
  </si>
  <si>
    <t>Row Label 1</t>
  </si>
  <si>
    <t>student name</t>
  </si>
  <si>
    <t>subjects</t>
  </si>
  <si>
    <t>marks</t>
  </si>
  <si>
    <t>roy</t>
  </si>
  <si>
    <t>tom</t>
  </si>
  <si>
    <t>smith</t>
  </si>
  <si>
    <t>stokes</t>
  </si>
  <si>
    <t>aman</t>
  </si>
  <si>
    <t>amit</t>
  </si>
  <si>
    <t>maths</t>
  </si>
  <si>
    <t>science</t>
  </si>
  <si>
    <t>english</t>
  </si>
  <si>
    <t>eco</t>
  </si>
  <si>
    <t>grade</t>
  </si>
  <si>
    <t>st. gmails</t>
  </si>
  <si>
    <t>roy.@gmail.com</t>
  </si>
  <si>
    <t>tom.@gmail.com</t>
  </si>
  <si>
    <t>smith.@gmail.com</t>
  </si>
  <si>
    <t>stokes.@gmail.com</t>
  </si>
  <si>
    <t>aman.@gmail.com</t>
  </si>
  <si>
    <t>amit.@gmail.com</t>
  </si>
  <si>
    <t>IFERROR</t>
  </si>
  <si>
    <t>Column1</t>
  </si>
  <si>
    <t>LAYS</t>
  </si>
  <si>
    <t>Column2</t>
  </si>
  <si>
    <t>alpabetical</t>
  </si>
  <si>
    <t>name</t>
  </si>
  <si>
    <t>rank</t>
  </si>
  <si>
    <t>value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</si>
  <si>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</si>
  <si>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</si>
  <si>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</si>
  <si>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</si>
  <si>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</si>
  <si>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</si>
  <si>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</si>
  <si>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</si>
  <si>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</si>
  <si>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apple</t>
  </si>
  <si>
    <t>ball</t>
  </si>
  <si>
    <t>close</t>
  </si>
  <si>
    <t>door</t>
  </si>
  <si>
    <t>eng</t>
  </si>
  <si>
    <t>fox</t>
  </si>
  <si>
    <t>grapes</t>
  </si>
  <si>
    <t>high</t>
  </si>
  <si>
    <t>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</si>
</sst>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9" fontId="9" fillId="0" borderId="0" applyFont="0" applyFill="0" applyBorder="0" applyAlignment="0" applyProtection="0"/>
    <xf numFmtId="0" fontId="10" fillId="4" borderId="0" applyNumberFormat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1"/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5" fontId="8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5" borderId="3" xfId="0" applyFont="1" applyFill="1" applyBorder="1"/>
    <xf numFmtId="0" fontId="6" fillId="5" borderId="4" xfId="1" applyFont="1" applyFill="1" applyBorder="1"/>
    <xf numFmtId="0" fontId="0" fillId="2" borderId="0" xfId="0" applyFill="1"/>
    <xf numFmtId="0" fontId="11" fillId="2" borderId="0" xfId="0" applyFont="1" applyFill="1" applyAlignment="1">
      <alignment horizontal="center"/>
    </xf>
    <xf numFmtId="0" fontId="10" fillId="4" borderId="0" xfId="3" applyAlignment="1"/>
    <xf numFmtId="9" fontId="10" fillId="4" borderId="0" xfId="2" applyFont="1" applyFill="1" applyAlignment="1"/>
    <xf numFmtId="2" fontId="10" fillId="4" borderId="0" xfId="3" applyNumberFormat="1" applyAlignme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4">
    <cellStyle name="Good" xfId="3" builtinId="26"/>
    <cellStyle name="Hyperlink" xfId="1" builtinId="8"/>
    <cellStyle name="Normal" xfId="0" builtinId="0"/>
    <cellStyle name="Percent" xfId="2" builtinId="5"/>
  </cellStyles>
  <dxfs count="15"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Sheet1!$AA$18:$AB$26</c:f>
              <c:multiLvlStrCache>
                <c:ptCount val="9"/>
                <c:lvl>
                  <c:pt idx="0">
                    <c:v>apple</c:v>
                  </c:pt>
                  <c:pt idx="1">
                    <c:v>ball</c:v>
                  </c:pt>
                  <c:pt idx="2">
                    <c:v>close</c:v>
                  </c:pt>
                  <c:pt idx="3">
                    <c:v>door</c:v>
                  </c:pt>
                  <c:pt idx="4">
                    <c:v>eng</c:v>
                  </c:pt>
                  <c:pt idx="5">
                    <c:v>fox</c:v>
                  </c:pt>
                  <c:pt idx="6">
                    <c:v>grapes</c:v>
                  </c:pt>
                  <c:pt idx="7">
                    <c:v>high</c:v>
                  </c:pt>
                  <c:pt idx="8">
                    <c:v>ice cream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</c:v>
                  </c:pt>
                </c:lvl>
              </c:multiLvlStrCache>
            </c:multiLvlStrRef>
          </c:cat>
          <c:val>
            <c:numRef>
              <c:f>Sheet1!$AC$18:$AC$26</c:f>
              <c:numCache>
                <c:formatCode>General</c:formatCode>
                <c:ptCount val="9"/>
                <c:pt idx="0">
                  <c:v>9</c:v>
                </c:pt>
                <c:pt idx="1">
                  <c:v>7</c:v>
                </c:pt>
                <c:pt idx="2">
                  <c:v>8.5</c:v>
                </c:pt>
                <c:pt idx="3">
                  <c:v>7</c:v>
                </c:pt>
                <c:pt idx="4">
                  <c:v>4</c:v>
                </c:pt>
                <c:pt idx="5">
                  <c:v>6</c:v>
                </c:pt>
                <c:pt idx="6">
                  <c:v>10</c:v>
                </c:pt>
                <c:pt idx="7">
                  <c:v>6</c:v>
                </c:pt>
                <c:pt idx="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6-4838-B760-72202FBC3B7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Sheet1!$AA$18:$AB$26</c:f>
              <c:multiLvlStrCache>
                <c:ptCount val="9"/>
                <c:lvl>
                  <c:pt idx="0">
                    <c:v>apple</c:v>
                  </c:pt>
                  <c:pt idx="1">
                    <c:v>ball</c:v>
                  </c:pt>
                  <c:pt idx="2">
                    <c:v>close</c:v>
                  </c:pt>
                  <c:pt idx="3">
                    <c:v>door</c:v>
                  </c:pt>
                  <c:pt idx="4">
                    <c:v>eng</c:v>
                  </c:pt>
                  <c:pt idx="5">
                    <c:v>fox</c:v>
                  </c:pt>
                  <c:pt idx="6">
                    <c:v>grapes</c:v>
                  </c:pt>
                  <c:pt idx="7">
                    <c:v>high</c:v>
                  </c:pt>
                  <c:pt idx="8">
                    <c:v>ice cream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</c:v>
                  </c:pt>
                </c:lvl>
              </c:multiLvlStrCache>
            </c:multiLvlStrRef>
          </c:cat>
          <c:val>
            <c:numRef>
              <c:f>Sheet1!$AD$18:$AD$26</c:f>
              <c:numCache>
                <c:formatCode>General</c:formatCode>
                <c:ptCount val="9"/>
                <c:pt idx="0">
                  <c:v>250</c:v>
                </c:pt>
                <c:pt idx="1">
                  <c:v>50</c:v>
                </c:pt>
                <c:pt idx="2">
                  <c:v>80</c:v>
                </c:pt>
                <c:pt idx="3">
                  <c:v>700</c:v>
                </c:pt>
                <c:pt idx="4">
                  <c:v>100</c:v>
                </c:pt>
                <c:pt idx="5">
                  <c:v>400</c:v>
                </c:pt>
                <c:pt idx="6">
                  <c:v>1000</c:v>
                </c:pt>
                <c:pt idx="7">
                  <c:v>50</c:v>
                </c:pt>
                <c:pt idx="8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86-4838-B760-72202FBC3B7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Sheet1!$AA$18:$AB$26</c:f>
              <c:multiLvlStrCache>
                <c:ptCount val="9"/>
                <c:lvl>
                  <c:pt idx="0">
                    <c:v>apple</c:v>
                  </c:pt>
                  <c:pt idx="1">
                    <c:v>ball</c:v>
                  </c:pt>
                  <c:pt idx="2">
                    <c:v>close</c:v>
                  </c:pt>
                  <c:pt idx="3">
                    <c:v>door</c:v>
                  </c:pt>
                  <c:pt idx="4">
                    <c:v>eng</c:v>
                  </c:pt>
                  <c:pt idx="5">
                    <c:v>fox</c:v>
                  </c:pt>
                  <c:pt idx="6">
                    <c:v>grapes</c:v>
                  </c:pt>
                  <c:pt idx="7">
                    <c:v>high</c:v>
                  </c:pt>
                  <c:pt idx="8">
                    <c:v>ice cream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</c:v>
                  </c:pt>
                </c:lvl>
              </c:multiLvlStrCache>
            </c:multiLvlStrRef>
          </c:cat>
          <c:val>
            <c:numRef>
              <c:f>Sheet1!$AE$18:$AE$26</c:f>
              <c:numCache>
                <c:formatCode>General</c:formatCode>
                <c:ptCount val="9"/>
                <c:pt idx="0">
                  <c:v>259</c:v>
                </c:pt>
                <c:pt idx="1">
                  <c:v>57</c:v>
                </c:pt>
                <c:pt idx="2">
                  <c:v>88.5</c:v>
                </c:pt>
                <c:pt idx="3">
                  <c:v>707</c:v>
                </c:pt>
                <c:pt idx="4">
                  <c:v>104</c:v>
                </c:pt>
                <c:pt idx="5">
                  <c:v>406</c:v>
                </c:pt>
                <c:pt idx="6">
                  <c:v>1010</c:v>
                </c:pt>
                <c:pt idx="7">
                  <c:v>56</c:v>
                </c:pt>
                <c:pt idx="8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86-4838-B760-72202FBC3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lt1"/>
              </a:solidFill>
              <a:round/>
            </a:ln>
            <a:effectLst/>
          </c:spPr>
        </c:hiLowLines>
        <c:axId val="311413087"/>
        <c:axId val="318234895"/>
      </c:stockChart>
      <c:catAx>
        <c:axId val="31141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34895"/>
        <c:crosses val="autoZero"/>
        <c:auto val="1"/>
        <c:lblAlgn val="ctr"/>
        <c:lblOffset val="100"/>
        <c:noMultiLvlLbl val="0"/>
      </c:catAx>
      <c:valAx>
        <c:axId val="3182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1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408877</xdr:colOff>
      <xdr:row>9</xdr:row>
      <xdr:rowOff>138461</xdr:rowOff>
    </xdr:from>
    <xdr:to>
      <xdr:col>39</xdr:col>
      <xdr:colOff>86730</xdr:colOff>
      <xdr:row>23</xdr:row>
      <xdr:rowOff>171295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CF2DEC-7385-CE24-5372-FCACF0613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4032B-CEBD-43E2-8E97-EC2349B84BF0}" name="Table1" displayName="Table1" ref="Z1:AG7" totalsRowShown="0" dataDxfId="14" dataCellStyle="Good">
  <tableColumns count="8">
    <tableColumn id="1" xr3:uid="{75D5843A-92D7-4D7B-8FD6-09296D6046B0}" name="student name" dataDxfId="13" dataCellStyle="Good"/>
    <tableColumn id="2" xr3:uid="{EE511977-0428-4DD2-8775-7DBAAE1011AE}" name="subjects" dataDxfId="12" dataCellStyle="Good"/>
    <tableColumn id="3" xr3:uid="{A43B78CD-D401-46D5-9052-B0DE2AC28839}" name="marks" dataDxfId="11" dataCellStyle="Percent"/>
    <tableColumn id="7" xr3:uid="{5E40BC67-44B0-4E8F-BC6E-3779079E9B1A}" name="Column1" dataDxfId="6" dataCellStyle="Good"/>
    <tableColumn id="4" xr3:uid="{81699359-3550-44BD-97F0-64EFCC7B9BD3}" name="grade" dataDxfId="10" dataCellStyle="Good">
      <calculatedColumnFormula>IF(marks&gt;=95,"A+","B")</calculatedColumnFormula>
    </tableColumn>
    <tableColumn id="5" xr3:uid="{9248B241-ABE0-477F-BC69-F49F32AF36EF}" name="st. gmails" dataDxfId="9" dataCellStyle="Good"/>
    <tableColumn id="6" xr3:uid="{E8657F88-D910-4AC8-822C-C8273F8107F6}" name="IFERROR" dataDxfId="8" dataCellStyle="Good">
      <calculatedColumnFormula>IFERROR(Table1[[#This Row],[marks]]/Table1[[#This Row],[Column1]],"False")</calculatedColumnFormula>
    </tableColumn>
    <tableColumn id="8" xr3:uid="{863D5A83-A32E-46F6-A6CA-393A8BDB04D6}" name="Column2" dataDxfId="7" dataCellStyle="Good">
      <calculatedColumnFormula>LEN(Table1[[#This Row],[st. gmails]])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D09F43-332C-4068-8720-15D43D980A45}" name="Table8" displayName="Table8" ref="AA17:AE26" totalsRowShown="0" dataDxfId="3">
  <autoFilter ref="AA17:AE26" xr:uid="{81D09F43-332C-4068-8720-15D43D980A45}"/>
  <tableColumns count="5">
    <tableColumn id="1" xr3:uid="{ECB24561-8FC2-46FC-ADB4-CDB2B1245BF3}" name="alpabetical" dataDxfId="2"/>
    <tableColumn id="2" xr3:uid="{BF61F83D-8592-4E08-8EDD-5FDF02CF64C1}" name="name" dataDxfId="1"/>
    <tableColumn id="3" xr3:uid="{BFBE6450-1CF9-43A9-AED0-14C4A73F7154}" name="rank" dataDxfId="5"/>
    <tableColumn id="4" xr3:uid="{A96F1296-0B29-4376-8C86-86B54DE8545B}" name="value" dataDxfId="4"/>
    <tableColumn id="5" xr3:uid="{680433EC-2048-4C8A-BCB1-EDB4E05049E1}" name="Column1" dataDxfId="0">
      <calculatedColumnFormula>Table8[[#This Row],[rank]]+Table8[[#This Row],[value]]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mith.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kik.26@gmail.com" TargetMode="External"/><Relationship Id="rId7" Type="http://schemas.openxmlformats.org/officeDocument/2006/relationships/hyperlink" Target="mailto:tom.@gmail.com" TargetMode="External"/><Relationship Id="rId12" Type="http://schemas.openxmlformats.org/officeDocument/2006/relationships/hyperlink" Target="mailto:roy.@gmail.com" TargetMode="External"/><Relationship Id="rId2" Type="http://schemas.openxmlformats.org/officeDocument/2006/relationships/hyperlink" Target="mailto:suk.25@gmail.com" TargetMode="External"/><Relationship Id="rId16" Type="http://schemas.openxmlformats.org/officeDocument/2006/relationships/table" Target="../tables/table2.xml"/><Relationship Id="rId1" Type="http://schemas.openxmlformats.org/officeDocument/2006/relationships/hyperlink" Target="mailto:ank.23@gmail.com" TargetMode="External"/><Relationship Id="rId6" Type="http://schemas.openxmlformats.org/officeDocument/2006/relationships/hyperlink" Target="mailto:roy.@gmail.com" TargetMode="External"/><Relationship Id="rId11" Type="http://schemas.openxmlformats.org/officeDocument/2006/relationships/hyperlink" Target="mailto:amit.@gmail.com" TargetMode="External"/><Relationship Id="rId5" Type="http://schemas.openxmlformats.org/officeDocument/2006/relationships/hyperlink" Target="mailto:ajk.25@gmail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aman.@gmail.com" TargetMode="External"/><Relationship Id="rId4" Type="http://schemas.openxmlformats.org/officeDocument/2006/relationships/hyperlink" Target="mailto:amk.27@gmail.com" TargetMode="External"/><Relationship Id="rId9" Type="http://schemas.openxmlformats.org/officeDocument/2006/relationships/hyperlink" Target="mailto:stokes.@gmail.com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4FB1-AD57-4850-AA87-E06A6A7A96BD}">
  <dimension ref="A1:AH32"/>
  <sheetViews>
    <sheetView tabSelected="1" topLeftCell="X1" zoomScale="123" zoomScaleNormal="130" workbookViewId="0">
      <pane ySplit="1" topLeftCell="A2" activePane="bottomLeft" state="frozen"/>
      <selection activeCell="U1" sqref="U1"/>
      <selection pane="bottomLeft" activeCell="AD21" sqref="AA18:AE26"/>
    </sheetView>
  </sheetViews>
  <sheetFormatPr defaultRowHeight="15" x14ac:dyDescent="0.25"/>
  <cols>
    <col min="4" max="4" width="10.5703125" bestFit="1" customWidth="1"/>
    <col min="6" max="6" width="13.7109375" style="4" bestFit="1" customWidth="1"/>
    <col min="7" max="7" width="17" bestFit="1" customWidth="1"/>
    <col min="8" max="8" width="11.7109375" bestFit="1" customWidth="1"/>
    <col min="10" max="10" width="11.7109375" bestFit="1" customWidth="1"/>
    <col min="15" max="15" width="10.28515625" bestFit="1" customWidth="1"/>
    <col min="17" max="17" width="10.85546875" bestFit="1" customWidth="1"/>
    <col min="18" max="18" width="10.5703125" bestFit="1" customWidth="1"/>
    <col min="24" max="24" width="15.5703125" bestFit="1" customWidth="1"/>
    <col min="26" max="26" width="14.5703125" customWidth="1"/>
    <col min="27" max="27" width="15.5703125" bestFit="1" customWidth="1"/>
    <col min="28" max="29" width="10.85546875" customWidth="1"/>
    <col min="30" max="30" width="10.42578125" customWidth="1"/>
    <col min="31" max="31" width="15.5703125" bestFit="1" customWidth="1"/>
  </cols>
  <sheetData>
    <row r="1" spans="1:33" x14ac:dyDescent="0.25">
      <c r="A1" s="2" t="s">
        <v>0</v>
      </c>
      <c r="B1" s="2" t="s">
        <v>6</v>
      </c>
      <c r="C1" s="2" t="s">
        <v>1</v>
      </c>
      <c r="D1" s="2" t="s">
        <v>2</v>
      </c>
      <c r="E1" s="2" t="s">
        <v>9</v>
      </c>
      <c r="F1" s="2" t="s">
        <v>14</v>
      </c>
      <c r="G1" s="9" t="s">
        <v>30</v>
      </c>
      <c r="I1" t="s">
        <v>7</v>
      </c>
      <c r="J1" t="s">
        <v>8</v>
      </c>
      <c r="O1" s="14" t="s">
        <v>33</v>
      </c>
      <c r="P1" s="14" t="s">
        <v>34</v>
      </c>
      <c r="Q1" s="14" t="s">
        <v>35</v>
      </c>
      <c r="R1" s="14" t="s">
        <v>36</v>
      </c>
      <c r="S1" s="14" t="s">
        <v>37</v>
      </c>
      <c r="T1" s="14" t="s">
        <v>38</v>
      </c>
      <c r="W1" s="11">
        <v>23</v>
      </c>
      <c r="Z1" t="s">
        <v>52</v>
      </c>
      <c r="AA1" t="s">
        <v>53</v>
      </c>
      <c r="AB1" t="s">
        <v>54</v>
      </c>
      <c r="AC1" t="s">
        <v>74</v>
      </c>
      <c r="AD1" t="s">
        <v>65</v>
      </c>
      <c r="AE1" t="s">
        <v>66</v>
      </c>
      <c r="AF1" t="s">
        <v>73</v>
      </c>
      <c r="AG1" t="s">
        <v>76</v>
      </c>
    </row>
    <row r="2" spans="1:33" x14ac:dyDescent="0.25">
      <c r="A2" s="3">
        <v>1</v>
      </c>
      <c r="B2" s="3">
        <v>23</v>
      </c>
      <c r="C2" s="3" t="s">
        <v>22</v>
      </c>
      <c r="D2" s="3">
        <v>23000</v>
      </c>
      <c r="E2" s="5">
        <f>D2*5%</f>
        <v>1150</v>
      </c>
      <c r="F2" s="5">
        <f>D2+E2</f>
        <v>24150</v>
      </c>
      <c r="G2" s="7" t="s">
        <v>24</v>
      </c>
      <c r="I2" t="s">
        <v>10</v>
      </c>
      <c r="J2" t="s">
        <v>11</v>
      </c>
      <c r="O2" s="5" t="s">
        <v>39</v>
      </c>
      <c r="P2" s="5" t="s">
        <v>45</v>
      </c>
      <c r="Q2" s="5" t="s">
        <v>47</v>
      </c>
      <c r="R2" s="5">
        <v>40</v>
      </c>
      <c r="S2" s="5">
        <v>2</v>
      </c>
      <c r="T2" s="5">
        <v>80</v>
      </c>
      <c r="W2" s="11">
        <v>24</v>
      </c>
      <c r="Z2" s="19" t="s">
        <v>55</v>
      </c>
      <c r="AA2" s="19" t="s">
        <v>61</v>
      </c>
      <c r="AB2" s="20">
        <v>88</v>
      </c>
      <c r="AC2" s="19">
        <v>8</v>
      </c>
      <c r="AD2" s="19" t="str">
        <f>IF(marks&gt;=95,"A+","B")</f>
        <v>B</v>
      </c>
      <c r="AE2" s="19" t="s">
        <v>67</v>
      </c>
      <c r="AF2" s="19">
        <f>IFERROR(Table1[[#This Row],[marks]]/Table1[[#This Row],[Column1]],"False")</f>
        <v>11</v>
      </c>
      <c r="AG2" s="19">
        <f>LEN(Table1[[#This Row],[st. gmails]])</f>
        <v>14</v>
      </c>
    </row>
    <row r="3" spans="1:33" x14ac:dyDescent="0.25">
      <c r="A3" s="3">
        <v>2</v>
      </c>
      <c r="B3" s="3">
        <v>25</v>
      </c>
      <c r="C3" s="3" t="s">
        <v>3</v>
      </c>
      <c r="D3" s="3">
        <v>45000</v>
      </c>
      <c r="E3" s="5">
        <f t="shared" ref="E3:E6" si="0">D3*5%</f>
        <v>2250</v>
      </c>
      <c r="F3" s="5">
        <f t="shared" ref="F3:F5" si="1">D3+E3</f>
        <v>47250</v>
      </c>
      <c r="G3" s="7" t="s">
        <v>25</v>
      </c>
      <c r="I3" t="s">
        <v>12</v>
      </c>
      <c r="J3" t="s">
        <v>13</v>
      </c>
      <c r="O3" s="5" t="s">
        <v>40</v>
      </c>
      <c r="P3" s="5" t="s">
        <v>46</v>
      </c>
      <c r="Q3" s="5" t="s">
        <v>47</v>
      </c>
      <c r="R3" s="5">
        <v>120</v>
      </c>
      <c r="S3" s="5">
        <v>2</v>
      </c>
      <c r="T3" s="5">
        <v>240</v>
      </c>
      <c r="W3" s="11" t="b">
        <v>1</v>
      </c>
      <c r="X3">
        <f>COUNTA(W1:W6)</f>
        <v>6</v>
      </c>
      <c r="Z3" s="19" t="s">
        <v>56</v>
      </c>
      <c r="AA3" s="19" t="s">
        <v>62</v>
      </c>
      <c r="AB3" s="20">
        <v>75</v>
      </c>
      <c r="AC3" s="19">
        <v>6</v>
      </c>
      <c r="AD3" s="19" t="str">
        <f>IF(marks&gt;=95,"A+","B")</f>
        <v>B</v>
      </c>
      <c r="AE3" s="19" t="s">
        <v>68</v>
      </c>
      <c r="AF3" s="21">
        <f>IFERROR(Table1[[#This Row],[marks]]/Table1[[#This Row],[Column1]],"False")</f>
        <v>12.5</v>
      </c>
      <c r="AG3" s="19">
        <f>LEN(Table1[[#This Row],[st. gmails]])</f>
        <v>14</v>
      </c>
    </row>
    <row r="4" spans="1:33" x14ac:dyDescent="0.25">
      <c r="A4" s="3">
        <v>3</v>
      </c>
      <c r="B4" s="3">
        <v>26</v>
      </c>
      <c r="C4" s="3" t="s">
        <v>5</v>
      </c>
      <c r="D4" s="3">
        <v>46000</v>
      </c>
      <c r="E4" s="5">
        <f t="shared" si="0"/>
        <v>2300</v>
      </c>
      <c r="F4" s="5">
        <f t="shared" si="1"/>
        <v>48300</v>
      </c>
      <c r="G4" s="7" t="s">
        <v>26</v>
      </c>
      <c r="I4" t="s">
        <v>15</v>
      </c>
      <c r="J4" t="s">
        <v>16</v>
      </c>
      <c r="O4" s="5" t="s">
        <v>41</v>
      </c>
      <c r="P4" s="5" t="s">
        <v>45</v>
      </c>
      <c r="Q4" s="5" t="s">
        <v>48</v>
      </c>
      <c r="R4" s="5">
        <v>60</v>
      </c>
      <c r="S4" s="5">
        <v>4</v>
      </c>
      <c r="T4" s="5">
        <v>240</v>
      </c>
      <c r="W4" s="11">
        <v>25</v>
      </c>
      <c r="X4">
        <f>COUNTBLANK(W1:W6)</f>
        <v>0</v>
      </c>
      <c r="Z4" s="19" t="s">
        <v>57</v>
      </c>
      <c r="AA4" s="19" t="s">
        <v>61</v>
      </c>
      <c r="AB4" s="20">
        <v>80</v>
      </c>
      <c r="AC4" s="19">
        <v>55</v>
      </c>
      <c r="AD4" s="19" t="str">
        <f>IF(marks&gt;=95,"A+","B")</f>
        <v>B</v>
      </c>
      <c r="AE4" s="19" t="s">
        <v>69</v>
      </c>
      <c r="AF4" s="21">
        <f>IFERROR(Table1[[#This Row],[marks]]/Table1[[#This Row],[Column1]],"False")</f>
        <v>1.4545454545454546</v>
      </c>
      <c r="AG4" s="19">
        <f>LEN(Table1[[#This Row],[st. gmails]])</f>
        <v>16</v>
      </c>
    </row>
    <row r="5" spans="1:33" x14ac:dyDescent="0.25">
      <c r="A5" s="3">
        <v>4</v>
      </c>
      <c r="B5" s="3">
        <v>27</v>
      </c>
      <c r="C5" s="3" t="s">
        <v>4</v>
      </c>
      <c r="D5" s="3">
        <v>30000</v>
      </c>
      <c r="E5" s="5">
        <f t="shared" si="0"/>
        <v>1500</v>
      </c>
      <c r="F5" s="5">
        <f t="shared" si="1"/>
        <v>31500</v>
      </c>
      <c r="G5" s="7" t="s">
        <v>27</v>
      </c>
      <c r="I5" t="s">
        <v>18</v>
      </c>
      <c r="J5" t="s">
        <v>19</v>
      </c>
      <c r="O5" s="5" t="s">
        <v>42</v>
      </c>
      <c r="P5" s="5" t="s">
        <v>46</v>
      </c>
      <c r="Q5" s="5" t="s">
        <v>48</v>
      </c>
      <c r="R5" s="5">
        <v>100</v>
      </c>
      <c r="S5" s="5">
        <v>3</v>
      </c>
      <c r="T5" s="5">
        <v>300</v>
      </c>
      <c r="W5" s="11" t="s">
        <v>49</v>
      </c>
      <c r="Z5" s="19" t="s">
        <v>58</v>
      </c>
      <c r="AA5" s="19" t="s">
        <v>63</v>
      </c>
      <c r="AB5" s="20">
        <v>93</v>
      </c>
      <c r="AC5" s="19">
        <v>0</v>
      </c>
      <c r="AD5" s="19" t="str">
        <f>IF(marks&gt;=95,"A+","B")</f>
        <v>B</v>
      </c>
      <c r="AE5" s="19" t="s">
        <v>70</v>
      </c>
      <c r="AF5" s="19" t="str">
        <f>IFERROR(Table1[[#This Row],[marks]]/Table1[[#This Row],[Column1]],"False")</f>
        <v>False</v>
      </c>
      <c r="AG5" s="19">
        <f>LEN(Table1[[#This Row],[st. gmails]])</f>
        <v>17</v>
      </c>
    </row>
    <row r="6" spans="1:33" ht="15.75" x14ac:dyDescent="0.25">
      <c r="A6" s="3">
        <v>5</v>
      </c>
      <c r="B6" s="3">
        <v>25</v>
      </c>
      <c r="C6" s="3" t="s">
        <v>17</v>
      </c>
      <c r="D6" s="3">
        <v>25000</v>
      </c>
      <c r="E6" s="5">
        <f t="shared" si="0"/>
        <v>1250</v>
      </c>
      <c r="F6" s="6">
        <f>D6+E6</f>
        <v>26250</v>
      </c>
      <c r="G6" s="7" t="s">
        <v>28</v>
      </c>
      <c r="I6" t="s">
        <v>20</v>
      </c>
      <c r="J6" t="s">
        <v>21</v>
      </c>
      <c r="O6" s="5" t="s">
        <v>43</v>
      </c>
      <c r="P6" s="5" t="s">
        <v>46</v>
      </c>
      <c r="Q6" s="5" t="s">
        <v>47</v>
      </c>
      <c r="R6" s="5">
        <v>120</v>
      </c>
      <c r="S6" s="5">
        <v>6</v>
      </c>
      <c r="T6" s="5">
        <v>720</v>
      </c>
      <c r="W6" s="11">
        <v>30</v>
      </c>
      <c r="Z6" s="19" t="s">
        <v>59</v>
      </c>
      <c r="AA6" s="19" t="s">
        <v>62</v>
      </c>
      <c r="AB6" s="20">
        <v>99</v>
      </c>
      <c r="AC6" s="19" t="s">
        <v>75</v>
      </c>
      <c r="AD6" s="19" t="str">
        <f>IF(marks&gt;=95,"A+","B")</f>
        <v>A+</v>
      </c>
      <c r="AE6" s="19" t="s">
        <v>71</v>
      </c>
      <c r="AF6" s="19" t="str">
        <f>IFERROR(Table1[[#This Row],[marks]]/Table1[[#This Row],[Column1]],"False")</f>
        <v>False</v>
      </c>
      <c r="AG6" s="19">
        <f>LEN(Table1[[#This Row],[st. gmails]])</f>
        <v>15</v>
      </c>
    </row>
    <row r="7" spans="1:33" x14ac:dyDescent="0.25">
      <c r="A7" s="1"/>
      <c r="B7" s="1"/>
      <c r="C7" s="1"/>
      <c r="D7" s="1"/>
      <c r="O7" s="5" t="s">
        <v>44</v>
      </c>
      <c r="P7" s="5" t="s">
        <v>46</v>
      </c>
      <c r="Q7" s="5" t="s">
        <v>48</v>
      </c>
      <c r="R7" s="5">
        <v>25</v>
      </c>
      <c r="S7" s="5">
        <v>2</v>
      </c>
      <c r="T7" s="5">
        <v>50</v>
      </c>
      <c r="Z7" s="19" t="s">
        <v>60</v>
      </c>
      <c r="AA7" s="19" t="s">
        <v>64</v>
      </c>
      <c r="AB7" s="20">
        <v>95</v>
      </c>
      <c r="AC7" s="19">
        <v>0</v>
      </c>
      <c r="AD7" s="19" t="str">
        <f>IF(marks&gt;=95,"A+","B")</f>
        <v>A+</v>
      </c>
      <c r="AE7" s="19" t="s">
        <v>72</v>
      </c>
      <c r="AF7" s="19" t="str">
        <f>IFERROR(Table1[[#This Row],[marks]]/Table1[[#This Row],[Column1]],"False")</f>
        <v>False</v>
      </c>
      <c r="AG7" s="19">
        <f>LEN(Table1[[#This Row],[st. gmails]])</f>
        <v>15</v>
      </c>
    </row>
    <row r="8" spans="1:33" x14ac:dyDescent="0.25">
      <c r="A8" s="1"/>
      <c r="B8" s="1"/>
      <c r="C8" s="2" t="s">
        <v>1</v>
      </c>
      <c r="D8" s="2" t="s">
        <v>23</v>
      </c>
      <c r="F8" s="10" t="s">
        <v>31</v>
      </c>
      <c r="G8" s="10" t="s">
        <v>32</v>
      </c>
    </row>
    <row r="9" spans="1:33" x14ac:dyDescent="0.25">
      <c r="A9" s="1"/>
      <c r="B9" s="1"/>
      <c r="C9" s="3" t="s">
        <v>22</v>
      </c>
      <c r="D9" s="1">
        <v>30</v>
      </c>
      <c r="F9" s="12">
        <v>46023</v>
      </c>
      <c r="G9" s="11">
        <v>205</v>
      </c>
      <c r="I9">
        <v>200</v>
      </c>
      <c r="Q9">
        <f>COUNTIF(Q2:Q7,"Fruit")</f>
        <v>3</v>
      </c>
      <c r="R9">
        <f>SUMIF(Q2:Q7,"Fruit",S2:S7)</f>
        <v>10</v>
      </c>
      <c r="AA9" s="18" t="s">
        <v>52</v>
      </c>
      <c r="AB9" s="17" t="s">
        <v>54</v>
      </c>
    </row>
    <row r="10" spans="1:33" x14ac:dyDescent="0.25">
      <c r="A10" s="1"/>
      <c r="B10" s="1"/>
      <c r="C10" s="3" t="s">
        <v>4</v>
      </c>
      <c r="D10" s="1">
        <v>45</v>
      </c>
      <c r="F10" s="12">
        <v>46054</v>
      </c>
      <c r="G10" s="11">
        <v>206.7</v>
      </c>
      <c r="Q10">
        <f>COUNTIFS(P2:P7,"Frozen",Q2:Q7,"vegetable")</f>
        <v>2</v>
      </c>
      <c r="R10">
        <f>SUMIFS(S2:S7,P2:P7,"Frozen",Q2:Q7,"Fruit")</f>
        <v>8</v>
      </c>
      <c r="AA10" s="15" t="s">
        <v>55</v>
      </c>
      <c r="AB10">
        <f>VLOOKUP(AA10,Table1[],3,0)</f>
        <v>88</v>
      </c>
    </row>
    <row r="11" spans="1:33" x14ac:dyDescent="0.25">
      <c r="A11" s="1"/>
      <c r="B11" s="1"/>
      <c r="C11" s="3" t="s">
        <v>5</v>
      </c>
      <c r="D11" s="1">
        <v>44</v>
      </c>
      <c r="F11" s="12">
        <v>46082</v>
      </c>
      <c r="G11" s="11">
        <v>205</v>
      </c>
      <c r="K11">
        <f>I9+I12</f>
        <v>600</v>
      </c>
      <c r="AA11" t="s">
        <v>56</v>
      </c>
    </row>
    <row r="12" spans="1:33" x14ac:dyDescent="0.25">
      <c r="A12" s="1"/>
      <c r="B12" s="1"/>
      <c r="C12" s="3" t="s">
        <v>17</v>
      </c>
      <c r="D12" s="1">
        <v>15</v>
      </c>
      <c r="F12" s="12">
        <v>46113</v>
      </c>
      <c r="G12" s="11">
        <v>207.1</v>
      </c>
      <c r="I12">
        <v>400</v>
      </c>
      <c r="Q12" t="s">
        <v>51</v>
      </c>
      <c r="R12" t="s">
        <v>50</v>
      </c>
      <c r="AA12" t="s">
        <v>60</v>
      </c>
    </row>
    <row r="13" spans="1:33" x14ac:dyDescent="0.25">
      <c r="A13" s="1"/>
      <c r="B13" s="1"/>
      <c r="C13" s="8" t="s">
        <v>29</v>
      </c>
      <c r="D13" s="1">
        <v>45</v>
      </c>
      <c r="F13" s="12">
        <v>46143</v>
      </c>
      <c r="G13" s="11">
        <v>208.1</v>
      </c>
      <c r="Q13" s="5" t="s">
        <v>39</v>
      </c>
      <c r="R13" s="5" t="s">
        <v>45</v>
      </c>
    </row>
    <row r="14" spans="1:33" x14ac:dyDescent="0.25">
      <c r="F14" s="12">
        <v>46174</v>
      </c>
      <c r="G14" s="11">
        <v>207.9</v>
      </c>
      <c r="K14">
        <f>I9*5</f>
        <v>1000</v>
      </c>
      <c r="Q14" s="5" t="s">
        <v>40</v>
      </c>
      <c r="R14" s="5" t="s">
        <v>46</v>
      </c>
      <c r="X14" s="16" t="s">
        <v>67</v>
      </c>
    </row>
    <row r="15" spans="1:33" x14ac:dyDescent="0.25">
      <c r="F15" s="12">
        <v>46204</v>
      </c>
      <c r="G15" s="11">
        <v>208.2</v>
      </c>
      <c r="Q15" s="5" t="s">
        <v>41</v>
      </c>
      <c r="R15" s="5" t="s">
        <v>45</v>
      </c>
    </row>
    <row r="16" spans="1:33" x14ac:dyDescent="0.25">
      <c r="K16">
        <f>I12*6</f>
        <v>2400</v>
      </c>
      <c r="Q16" s="5" t="s">
        <v>42</v>
      </c>
      <c r="R16" s="5" t="s">
        <v>46</v>
      </c>
    </row>
    <row r="17" spans="1:34" x14ac:dyDescent="0.25">
      <c r="I17">
        <v>1000</v>
      </c>
      <c r="Q17" s="5" t="s">
        <v>43</v>
      </c>
      <c r="R17" s="5" t="s">
        <v>46</v>
      </c>
      <c r="AA17" t="s">
        <v>77</v>
      </c>
      <c r="AB17" t="s">
        <v>78</v>
      </c>
      <c r="AC17" t="s">
        <v>79</v>
      </c>
      <c r="AD17" t="s">
        <v>80</v>
      </c>
      <c r="AE17" t="s">
        <v>74</v>
      </c>
    </row>
    <row r="18" spans="1:34" x14ac:dyDescent="0.25">
      <c r="Q18" s="5" t="s">
        <v>44</v>
      </c>
      <c r="R18" s="5" t="s">
        <v>46</v>
      </c>
      <c r="AA18" s="23" t="s">
        <v>81</v>
      </c>
      <c r="AB18" s="22" t="s">
        <v>90</v>
      </c>
      <c r="AC18" s="22">
        <v>9</v>
      </c>
      <c r="AD18" s="22">
        <v>250</v>
      </c>
      <c r="AE18" s="22">
        <f>Table8[[#This Row],[rank]]+Table8[[#This Row],[value]]</f>
        <v>259</v>
      </c>
    </row>
    <row r="19" spans="1:34" x14ac:dyDescent="0.25">
      <c r="AA19" s="23" t="s">
        <v>82</v>
      </c>
      <c r="AB19" s="22" t="s">
        <v>91</v>
      </c>
      <c r="AC19" s="22">
        <v>7</v>
      </c>
      <c r="AD19" s="22">
        <v>50</v>
      </c>
      <c r="AE19" s="22">
        <f>Table8[[#This Row],[rank]]+Table8[[#This Row],[value]]</f>
        <v>57</v>
      </c>
    </row>
    <row r="20" spans="1:34" x14ac:dyDescent="0.25">
      <c r="K20">
        <f>I17+55</f>
        <v>1055</v>
      </c>
      <c r="Q20" t="s">
        <v>42</v>
      </c>
      <c r="R20" t="s">
        <v>46</v>
      </c>
      <c r="AA20" s="23" t="s">
        <v>83</v>
      </c>
      <c r="AB20" s="22" t="s">
        <v>92</v>
      </c>
      <c r="AC20" s="22">
        <v>8.5</v>
      </c>
      <c r="AD20" s="22">
        <v>80</v>
      </c>
      <c r="AE20" s="22">
        <f>Table8[[#This Row],[rank]]+Table8[[#This Row],[value]]</f>
        <v>88.5</v>
      </c>
      <c r="AH20" s="7"/>
    </row>
    <row r="21" spans="1:34" x14ac:dyDescent="0.25">
      <c r="AA21" s="23" t="s">
        <v>84</v>
      </c>
      <c r="AB21" s="22" t="s">
        <v>93</v>
      </c>
      <c r="AC21" s="22">
        <v>7</v>
      </c>
      <c r="AD21" s="22">
        <v>700</v>
      </c>
      <c r="AE21" s="22">
        <f>Table8[[#This Row],[rank]]+Table8[[#This Row],[value]]</f>
        <v>707</v>
      </c>
      <c r="AH21" s="7"/>
    </row>
    <row r="22" spans="1:34" x14ac:dyDescent="0.25">
      <c r="Q22">
        <f>SUMIFS(T2:T7,Q13:Q18,Q20,P2:P7,R20)</f>
        <v>300</v>
      </c>
      <c r="AA22" s="23" t="s">
        <v>85</v>
      </c>
      <c r="AB22" s="22" t="s">
        <v>94</v>
      </c>
      <c r="AC22" s="22">
        <v>4</v>
      </c>
      <c r="AD22" s="22">
        <v>100</v>
      </c>
      <c r="AE22" s="22">
        <f>Table8[[#This Row],[rank]]+Table8[[#This Row],[value]]</f>
        <v>104</v>
      </c>
      <c r="AH22" s="7"/>
    </row>
    <row r="23" spans="1:34" x14ac:dyDescent="0.25">
      <c r="A23" s="13" t="s">
        <v>33</v>
      </c>
      <c r="B23" s="13" t="s">
        <v>34</v>
      </c>
      <c r="C23" s="13" t="s">
        <v>35</v>
      </c>
      <c r="D23" s="13" t="s">
        <v>36</v>
      </c>
      <c r="E23" s="13" t="s">
        <v>37</v>
      </c>
      <c r="F23" s="13" t="s">
        <v>38</v>
      </c>
      <c r="AA23" s="23" t="s">
        <v>86</v>
      </c>
      <c r="AB23" s="22" t="s">
        <v>95</v>
      </c>
      <c r="AC23" s="22">
        <v>6</v>
      </c>
      <c r="AD23" s="22">
        <v>400</v>
      </c>
      <c r="AE23" s="22">
        <f>Table8[[#This Row],[rank]]+Table8[[#This Row],[value]]</f>
        <v>406</v>
      </c>
      <c r="AH23" s="7"/>
    </row>
    <row r="24" spans="1:34" x14ac:dyDescent="0.25">
      <c r="A24" s="11" t="s">
        <v>39</v>
      </c>
      <c r="B24" s="11" t="s">
        <v>45</v>
      </c>
      <c r="C24" s="11" t="s">
        <v>47</v>
      </c>
      <c r="D24" s="11">
        <v>40</v>
      </c>
      <c r="E24" s="11">
        <v>2</v>
      </c>
      <c r="F24" s="11">
        <v>80</v>
      </c>
      <c r="AA24" s="23" t="s">
        <v>87</v>
      </c>
      <c r="AB24" s="22" t="s">
        <v>96</v>
      </c>
      <c r="AC24" s="22">
        <v>10</v>
      </c>
      <c r="AD24" s="22">
        <v>1000</v>
      </c>
      <c r="AE24" s="22">
        <f>Table8[[#This Row],[rank]]+Table8[[#This Row],[value]]</f>
        <v>1010</v>
      </c>
      <c r="AH24" s="7"/>
    </row>
    <row r="25" spans="1:34" x14ac:dyDescent="0.25">
      <c r="A25" s="11" t="s">
        <v>40</v>
      </c>
      <c r="B25" s="11" t="s">
        <v>46</v>
      </c>
      <c r="C25" s="11" t="s">
        <v>47</v>
      </c>
      <c r="D25" s="11">
        <v>120</v>
      </c>
      <c r="E25" s="11">
        <v>2</v>
      </c>
      <c r="F25" s="11">
        <v>240</v>
      </c>
      <c r="J25">
        <v>200</v>
      </c>
      <c r="AA25" s="23" t="s">
        <v>88</v>
      </c>
      <c r="AB25" s="22" t="s">
        <v>97</v>
      </c>
      <c r="AC25" s="22">
        <v>6</v>
      </c>
      <c r="AD25" s="22">
        <v>50</v>
      </c>
      <c r="AE25" s="22">
        <f>Table8[[#This Row],[rank]]+Table8[[#This Row],[value]]</f>
        <v>56</v>
      </c>
      <c r="AH25" s="7"/>
    </row>
    <row r="26" spans="1:34" x14ac:dyDescent="0.25">
      <c r="A26" s="11" t="s">
        <v>41</v>
      </c>
      <c r="B26" s="11" t="s">
        <v>45</v>
      </c>
      <c r="C26" s="11" t="s">
        <v>48</v>
      </c>
      <c r="D26" s="11">
        <v>60</v>
      </c>
      <c r="E26" s="11">
        <v>4</v>
      </c>
      <c r="F26" s="11">
        <v>240</v>
      </c>
      <c r="L26">
        <f>J25+J27</f>
        <v>500</v>
      </c>
      <c r="AA26" s="23" t="s">
        <v>89</v>
      </c>
      <c r="AB26" s="22" t="s">
        <v>98</v>
      </c>
      <c r="AC26" s="22">
        <v>9</v>
      </c>
      <c r="AD26" s="22">
        <v>70</v>
      </c>
      <c r="AE26" s="22">
        <f>Table8[[#This Row],[rank]]+Table8[[#This Row],[value]]</f>
        <v>79</v>
      </c>
    </row>
    <row r="27" spans="1:34" x14ac:dyDescent="0.25">
      <c r="A27" s="11" t="s">
        <v>42</v>
      </c>
      <c r="B27" s="11" t="s">
        <v>46</v>
      </c>
      <c r="C27" s="11" t="s">
        <v>48</v>
      </c>
      <c r="D27" s="11">
        <v>100</v>
      </c>
      <c r="E27" s="11">
        <v>3</v>
      </c>
      <c r="F27" s="11">
        <v>300</v>
      </c>
      <c r="J27">
        <v>300</v>
      </c>
    </row>
    <row r="28" spans="1:34" x14ac:dyDescent="0.25">
      <c r="A28" s="11" t="s">
        <v>43</v>
      </c>
      <c r="B28" s="11" t="s">
        <v>46</v>
      </c>
      <c r="C28" s="11" t="s">
        <v>47</v>
      </c>
      <c r="D28" s="11">
        <v>120</v>
      </c>
      <c r="E28" s="11">
        <v>6</v>
      </c>
      <c r="F28" s="11">
        <v>720</v>
      </c>
    </row>
    <row r="29" spans="1:34" x14ac:dyDescent="0.25">
      <c r="A29" s="11" t="s">
        <v>44</v>
      </c>
      <c r="B29" s="11" t="s">
        <v>46</v>
      </c>
      <c r="C29" s="11" t="s">
        <v>48</v>
      </c>
      <c r="D29" s="11">
        <v>25</v>
      </c>
      <c r="E29" s="11">
        <v>2</v>
      </c>
      <c r="F29" s="11">
        <v>50</v>
      </c>
    </row>
    <row r="30" spans="1:34" x14ac:dyDescent="0.25">
      <c r="A30" s="13"/>
      <c r="B30" s="13"/>
      <c r="C30" s="13"/>
      <c r="D30" s="13"/>
      <c r="E30" s="13"/>
      <c r="F30" s="13"/>
    </row>
    <row r="31" spans="1:34" x14ac:dyDescent="0.25">
      <c r="A31" s="11"/>
      <c r="B31" s="11"/>
      <c r="C31" s="11"/>
      <c r="D31" s="11"/>
      <c r="E31" s="11"/>
      <c r="F31" s="11"/>
    </row>
    <row r="32" spans="1:34" x14ac:dyDescent="0.25">
      <c r="A32" s="11"/>
      <c r="B32" s="11"/>
      <c r="C32" s="11"/>
      <c r="D32" s="11"/>
      <c r="E32" s="11"/>
      <c r="F32" s="11"/>
    </row>
  </sheetData>
  <phoneticPr fontId="3" type="noConversion"/>
  <conditionalFormatting sqref="D8:D1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{48A0BBBF-327F-4F1E-9441-CADF718150DB}</x14:id>
        </ext>
      </extLst>
    </cfRule>
  </conditionalFormatting>
  <conditionalFormatting sqref="AB27:AC1048576 AB1:AC8 AB10:AC14 AC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{D112B2C1-F653-4E25-A221-59F742710B7E}</x14:id>
        </ext>
      </extLst>
    </cfRule>
  </conditionalFormatting>
  <conditionalFormatting sqref="AE18:AE26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dataValidations count="2">
    <dataValidation type="list" allowBlank="1" showInputMessage="1" showErrorMessage="1" sqref="Q20" xr:uid="{179EE944-FFB1-4A7D-8AAA-099D5A8C61C5}">
      <formula1>$O$2:$O$6</formula1>
    </dataValidation>
    <dataValidation type="list" allowBlank="1" showInputMessage="1" showErrorMessage="1" sqref="R13:R18 R20" xr:uid="{994FC5CE-974B-47DC-B8AC-D273DD4BE681}">
      <formula1>$P$2:$P$7</formula1>
    </dataValidation>
  </dataValidations>
  <hyperlinks>
    <hyperlink ref="G2" r:id="rId1" xr:uid="{8CDFE076-B84D-47F7-81DC-EBE01424DE7D}"/>
    <hyperlink ref="G3" r:id="rId2" xr:uid="{37DF5225-85FB-4F03-81A8-4A159C453842}"/>
    <hyperlink ref="G4" r:id="rId3" xr:uid="{450BF1C8-AF3C-42FA-A402-88E9E5A8AD6E}"/>
    <hyperlink ref="G5" r:id="rId4" xr:uid="{D09DE00B-C751-41DE-9407-23E1A969194B}"/>
    <hyperlink ref="G6" r:id="rId5" xr:uid="{CE0B6BFB-416D-4DC4-89A9-32AEA3FCD8B9}"/>
    <hyperlink ref="AE2" r:id="rId6" xr:uid="{8BCC57DF-F199-48BD-B9B2-36A163AC2B7E}"/>
    <hyperlink ref="AE3" r:id="rId7" xr:uid="{C363DF98-B913-4F52-8D61-E4E2CEE8989F}"/>
    <hyperlink ref="AE4" r:id="rId8" xr:uid="{D6B9E294-D4A0-4D86-BF3C-EB5812A8A18A}"/>
    <hyperlink ref="AE5" r:id="rId9" xr:uid="{5E3054B8-9D43-4564-810F-75FDBE0DDE5C}"/>
    <hyperlink ref="AE6" r:id="rId10" xr:uid="{20AB87D2-6B90-4AE2-92AD-B1505A6C243F}"/>
    <hyperlink ref="AE7" r:id="rId11" xr:uid="{BA487083-1955-4B5F-A7AA-75CA81171D32}"/>
    <hyperlink ref="X14" r:id="rId12" xr:uid="{257603B7-9B4A-4504-83A8-73CCA40D8EE7}"/>
  </hyperlinks>
  <pageMargins left="0.7" right="0.7" top="0.75" bottom="0.75" header="0.3" footer="0.3"/>
  <pageSetup orientation="portrait" r:id="rId13"/>
  <drawing r:id="rId14"/>
  <tableParts count="2">
    <tablePart r:id="rId15"/>
    <tablePart r:id="rId1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A0BBBF-327F-4F1E-9441-CADF71815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D8:D13</xm:sqref>
        </x14:conditionalFormatting>
        <x14:conditionalFormatting xmlns:xm="http://schemas.microsoft.com/office/excel/2006/main">
          <x14:cfRule type="dataBar" id="{D112B2C1-F653-4E25-A221-59F742710B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AB27:AC1048576 AB1:AC8 AB10:AC14 AC9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grade</vt:lpstr>
      <vt:lpstr>marks</vt:lpstr>
      <vt:lpstr>student_name</vt:lpstr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Ingale</dc:creator>
  <cp:lastModifiedBy>Sujal Ingale</cp:lastModifiedBy>
  <dcterms:created xsi:type="dcterms:W3CDTF">2026-08-07T04:44:08Z</dcterms:created>
  <dcterms:modified xsi:type="dcterms:W3CDTF">2026-08-23T15:32:48Z</dcterms:modified>
</cp:coreProperties>
</file>
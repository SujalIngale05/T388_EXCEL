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29252722-4DFC-42DC-A4D1-2F877DC160CE}" xr6:coauthVersionLast="47" xr6:coauthVersionMax="47" xr10:uidLastSave="{00000000-0000-0000-0000-000000000000}"/>
  <bookViews>
    <workbookView xWindow="-120" yWindow="-120" windowWidth="29040" windowHeight="15720" activeTab="1" xr2:uid="{97914E35-3EC5-46A0-9D29-D522FBEA4F09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definedNames>
    <definedName name="_xlnm._FilterDatabase" localSheetId="0" hidden="1">Sheet1!$O$4:$T$10</definedName>
    <definedName name="chemistry">Sheet2!$E$2:$E$8</definedName>
    <definedName name="english">Sheet2!$D$2:$D$8</definedName>
    <definedName name="grade">Sheet1!$AD$5:$AD$10</definedName>
    <definedName name="marks">Sheet1!$AB$5:$AB$10</definedName>
    <definedName name="maths">Sheet2!$B$2:$B$8</definedName>
    <definedName name="science">Sheet2!$C$2:$C$8</definedName>
    <definedName name="student_name" localSheetId="1">Sheet2!$A$2:$A$8</definedName>
    <definedName name="student_name">Sheet1!$Z$5:$Z$10</definedName>
    <definedName name="subjects">Sheet1!$AA$5:$AA$10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2" l="1"/>
  <c r="D14" i="2"/>
  <c r="D13" i="2"/>
  <c r="D12" i="2"/>
  <c r="A2" i="6"/>
  <c r="B2" i="6"/>
  <c r="C2" i="6"/>
  <c r="A3" i="6"/>
  <c r="B3" i="6"/>
  <c r="C3" i="6"/>
  <c r="A4" i="6"/>
  <c r="B4" i="6"/>
  <c r="C4" i="6"/>
  <c r="A5" i="6"/>
  <c r="B5" i="6"/>
  <c r="C5" i="6"/>
  <c r="D3" i="2"/>
  <c r="D4" i="2"/>
  <c r="D5" i="2"/>
  <c r="D6" i="2"/>
  <c r="D7" i="2"/>
  <c r="D8" i="2"/>
  <c r="D2" i="2"/>
  <c r="E3" i="2"/>
  <c r="E4" i="2"/>
  <c r="E11" i="2" s="1"/>
  <c r="E5" i="2"/>
  <c r="E6" i="2"/>
  <c r="E7" i="2"/>
  <c r="E8" i="2"/>
  <c r="E2" i="2"/>
  <c r="C3" i="2"/>
  <c r="C4" i="2"/>
  <c r="C5" i="2"/>
  <c r="C6" i="2"/>
  <c r="C7" i="2"/>
  <c r="C8" i="2"/>
  <c r="C2" i="2"/>
  <c r="AE21" i="1"/>
  <c r="AE22" i="1"/>
  <c r="AE23" i="1"/>
  <c r="AE24" i="1"/>
  <c r="AE25" i="1"/>
  <c r="AE26" i="1"/>
  <c r="AE27" i="1"/>
  <c r="AE28" i="1"/>
  <c r="AE29" i="1"/>
  <c r="AB13" i="1"/>
  <c r="AG5" i="1"/>
  <c r="AG6" i="1"/>
  <c r="AG7" i="1"/>
  <c r="AG8" i="1"/>
  <c r="AG9" i="1"/>
  <c r="AG10" i="1"/>
  <c r="AF5" i="1"/>
  <c r="AF6" i="1"/>
  <c r="AF7" i="1"/>
  <c r="AF8" i="1"/>
  <c r="AF9" i="1"/>
  <c r="AF10" i="1"/>
  <c r="AD5" i="1"/>
  <c r="AD6" i="1"/>
  <c r="AD7" i="1"/>
  <c r="AD8" i="1"/>
  <c r="AD9" i="1"/>
  <c r="AD10" i="1"/>
  <c r="Q25" i="1"/>
  <c r="Q13" i="1"/>
  <c r="Q12" i="1"/>
  <c r="X7" i="1"/>
  <c r="X6" i="1"/>
  <c r="R13" i="1"/>
  <c r="R12" i="1"/>
  <c r="L29" i="1"/>
  <c r="K14" i="1"/>
  <c r="K23" i="1"/>
  <c r="K19" i="1"/>
  <c r="K17" i="1"/>
  <c r="E9" i="1"/>
  <c r="F9" i="1" s="1"/>
  <c r="E6" i="1"/>
  <c r="F6" i="1" s="1"/>
  <c r="E7" i="1"/>
  <c r="F7" i="1" s="1"/>
  <c r="E8" i="1"/>
  <c r="F8" i="1" s="1"/>
  <c r="E5" i="1"/>
  <c r="F5" i="1" s="1"/>
  <c r="E10" i="2" l="1"/>
</calcChain>
</file>

<file path=xl/sharedStrings.xml><?xml version="1.0" encoding="utf-8"?>
<sst xmlns="http://schemas.openxmlformats.org/spreadsheetml/2006/main" count="167" uniqueCount="116">
  <si>
    <t>ID</t>
  </si>
  <si>
    <t>NAME</t>
  </si>
  <si>
    <t>SALARY</t>
  </si>
  <si>
    <t>Suman</t>
  </si>
  <si>
    <t>Amar</t>
  </si>
  <si>
    <t>Kiran</t>
  </si>
  <si>
    <t>AGE</t>
  </si>
  <si>
    <t>ctrl+z</t>
  </si>
  <si>
    <t>undo</t>
  </si>
  <si>
    <t>BONUS</t>
  </si>
  <si>
    <t>ctrl+y</t>
  </si>
  <si>
    <t>redo</t>
  </si>
  <si>
    <t>ctrl+A</t>
  </si>
  <si>
    <t>SELECT ALL</t>
  </si>
  <si>
    <t>TOTAL SALARY</t>
  </si>
  <si>
    <t>ctrl+N</t>
  </si>
  <si>
    <t>NEW FILE</t>
  </si>
  <si>
    <t>Ajit Kumar</t>
  </si>
  <si>
    <t>ctrl+f</t>
  </si>
  <si>
    <t>To Find</t>
  </si>
  <si>
    <t>ctrl+h</t>
  </si>
  <si>
    <t>To Replace</t>
  </si>
  <si>
    <t>Aniket</t>
  </si>
  <si>
    <t>Marks</t>
  </si>
  <si>
    <t>ank.23@gmail.com</t>
  </si>
  <si>
    <t>suk.25@gmail.com</t>
  </si>
  <si>
    <t>kik.26@gmail.com</t>
  </si>
  <si>
    <t>amk.27@gmail.com</t>
  </si>
  <si>
    <t>ajk.25@gmail.com</t>
  </si>
  <si>
    <t>Raj</t>
  </si>
  <si>
    <t>GMAILS</t>
  </si>
  <si>
    <t>MONTH</t>
  </si>
  <si>
    <t>SHARE PRICE</t>
  </si>
  <si>
    <t>PRODUCT</t>
  </si>
  <si>
    <t>SOURCE</t>
  </si>
  <si>
    <t>REMARK</t>
  </si>
  <si>
    <t>UNIT PRICE</t>
  </si>
  <si>
    <t>QTY.</t>
  </si>
  <si>
    <t>SALES</t>
  </si>
  <si>
    <t>Banana</t>
  </si>
  <si>
    <t>Apple</t>
  </si>
  <si>
    <t>Tomato</t>
  </si>
  <si>
    <t>Green Peas</t>
  </si>
  <si>
    <t>Cherry</t>
  </si>
  <si>
    <t>Spinach</t>
  </si>
  <si>
    <t>Fresh</t>
  </si>
  <si>
    <t>Frozen</t>
  </si>
  <si>
    <t>Fruit</t>
  </si>
  <si>
    <t>Vegetable</t>
  </si>
  <si>
    <t>F21</t>
  </si>
  <si>
    <t>Row Label 2</t>
  </si>
  <si>
    <t>Row Label 1</t>
  </si>
  <si>
    <t>student name</t>
  </si>
  <si>
    <t>subjects</t>
  </si>
  <si>
    <t>marks</t>
  </si>
  <si>
    <t>roy</t>
  </si>
  <si>
    <t>tom</t>
  </si>
  <si>
    <t>smith</t>
  </si>
  <si>
    <t>stokes</t>
  </si>
  <si>
    <t>aman</t>
  </si>
  <si>
    <t>amit</t>
  </si>
  <si>
    <t>maths</t>
  </si>
  <si>
    <t>science</t>
  </si>
  <si>
    <t>english</t>
  </si>
  <si>
    <t>eco</t>
  </si>
  <si>
    <t>grade</t>
  </si>
  <si>
    <t>st. gmails</t>
  </si>
  <si>
    <t>roy.@gmail.com</t>
  </si>
  <si>
    <t>tom.@gmail.com</t>
  </si>
  <si>
    <t>smith.@gmail.com</t>
  </si>
  <si>
    <t>stokes.@gmail.com</t>
  </si>
  <si>
    <t>aman.@gmail.com</t>
  </si>
  <si>
    <t>amit.@gmail.com</t>
  </si>
  <si>
    <t>IFERROR</t>
  </si>
  <si>
    <t>Column1</t>
  </si>
  <si>
    <t>LAYS</t>
  </si>
  <si>
    <t>Column2</t>
  </si>
  <si>
    <t>alpabetical</t>
  </si>
  <si>
    <t>name</t>
  </si>
  <si>
    <t>rank</t>
  </si>
  <si>
    <t>value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</si>
  <si>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</si>
  <si>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</si>
  <si>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</si>
  <si>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</si>
  <si>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</si>
  <si>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</si>
  <si>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</si>
  <si>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</si>
  <si>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</si>
  <si>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apple</t>
  </si>
  <si>
    <t>ball</t>
  </si>
  <si>
    <t>close</t>
  </si>
  <si>
    <t>door</t>
  </si>
  <si>
    <t>eng</t>
  </si>
  <si>
    <t>fox</t>
  </si>
  <si>
    <t>grapes</t>
  </si>
  <si>
    <t>high</t>
  </si>
  <si>
    <t>ice cream</t>
  </si>
  <si>
    <t>Sujal's Data</t>
  </si>
  <si>
    <t xml:space="preserve">maths </t>
  </si>
  <si>
    <t>chemistry</t>
  </si>
  <si>
    <t>ajit</t>
  </si>
  <si>
    <t>amay</t>
  </si>
  <si>
    <t>raj</t>
  </si>
  <si>
    <t>sam</t>
  </si>
  <si>
    <t>roman</t>
  </si>
  <si>
    <t>gmails</t>
  </si>
  <si>
    <t>roy.101@gmail.com</t>
  </si>
  <si>
    <t>ajit.101@gmail.com</t>
  </si>
  <si>
    <t>amay.101@gmail.com</t>
  </si>
  <si>
    <t>raj.101@gmail.com</t>
  </si>
  <si>
    <t>sam.101@gmail.com</t>
  </si>
  <si>
    <t>tom.101@gmail.com</t>
  </si>
  <si>
    <t>roman.101@gmail.com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</si>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</sst>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6" fillId="0" borderId="0" applyNumberFormat="0" applyFill="0" applyBorder="0" applyAlignment="0" applyProtection="0"/>
    <xf numFmtId="9" fontId="9" fillId="0" borderId="0" applyFont="0" applyFill="0" applyBorder="0" applyAlignment="0" applyProtection="0"/>
    <xf numFmtId="0" fontId="10" fillId="4" borderId="0" applyNumberFormat="0" applyBorder="0" applyAlignment="0" applyProtection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1"/>
    <xf numFmtId="0" fontId="1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5" borderId="3" xfId="0" applyFill="1" applyBorder="1"/>
    <xf numFmtId="0" fontId="6" fillId="5" borderId="4" xfId="1" applyFill="1" applyBorder="1"/>
    <xf numFmtId="0" fontId="0" fillId="2" borderId="0" xfId="0" applyFill="1"/>
    <xf numFmtId="0" fontId="11" fillId="2" borderId="0" xfId="0" applyFont="1" applyFill="1" applyAlignment="1">
      <alignment horizontal="center"/>
    </xf>
    <xf numFmtId="0" fontId="10" fillId="4" borderId="0" xfId="3" applyAlignment="1"/>
    <xf numFmtId="9" fontId="10" fillId="4" borderId="0" xfId="2" applyFont="1" applyFill="1" applyAlignment="1"/>
    <xf numFmtId="2" fontId="10" fillId="4" borderId="0" xfId="3" applyNumberFormat="1" applyAlignment="1"/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7" fillId="3" borderId="1" xfId="0" applyFont="1" applyFill="1" applyBorder="1" applyAlignment="1">
      <alignment horizontal="center"/>
    </xf>
    <xf numFmtId="15" fontId="8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0" borderId="8" xfId="1" applyBorder="1" applyAlignment="1">
      <alignment horizontal="center"/>
    </xf>
    <xf numFmtId="0" fontId="6" fillId="0" borderId="1" xfId="1" applyBorder="1" applyAlignment="1">
      <alignment horizontal="center"/>
    </xf>
    <xf numFmtId="0" fontId="6" fillId="0" borderId="11" xfId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14" fillId="3" borderId="7" xfId="0" applyFont="1" applyFill="1" applyBorder="1" applyAlignment="1">
      <alignment horizontal="center"/>
    </xf>
    <xf numFmtId="0" fontId="14" fillId="3" borderId="8" xfId="0" applyFont="1" applyFill="1" applyBorder="1" applyAlignment="1">
      <alignment horizontal="center"/>
    </xf>
    <xf numFmtId="0" fontId="14" fillId="3" borderId="9" xfId="0" applyFont="1" applyFill="1" applyBorder="1" applyAlignment="1">
      <alignment horizontal="center"/>
    </xf>
    <xf numFmtId="0" fontId="0" fillId="0" borderId="0" xfId="0" applyAlignment="1"/>
  </cellXfs>
  <cellStyles count="4">
    <cellStyle name="Good" xfId="3" builtinId="26"/>
    <cellStyle name="Hyperlink" xfId="1" builtinId="8"/>
    <cellStyle name="Normal" xfId="0" builtinId="0"/>
    <cellStyle name="Percent" xfId="2" builtinId="5"/>
  </cellStyles>
  <dxfs count="27">
    <dxf>
      <font>
        <strike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tockChart>
        <c:ser>
          <c:idx val="0"/>
          <c:order val="0"/>
          <c:tx>
            <c:strRef>
              <c:f>Sheet1!$AC$20</c:f>
              <c:strCache>
                <c:ptCount val="1"/>
                <c:pt idx="0">
                  <c:v>rank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multiLvlStrRef>
              <c:f>Sheet1!$AA$21:$AB$29</c:f>
              <c:multiLvlStrCache>
                <c:ptCount val="9"/>
                <c:lvl>
                  <c:pt idx="0">
                    <c:v>apple</c:v>
                  </c:pt>
                  <c:pt idx="1">
                    <c:v>ball</c:v>
                  </c:pt>
                  <c:pt idx="2">
                    <c:v>close</c:v>
                  </c:pt>
                  <c:pt idx="3">
                    <c:v>door</c:v>
                  </c:pt>
                  <c:pt idx="4">
                    <c:v>eng</c:v>
                  </c:pt>
                  <c:pt idx="5">
                    <c:v>fox</c:v>
                  </c:pt>
                  <c:pt idx="6">
                    <c:v>grapes</c:v>
                  </c:pt>
                  <c:pt idx="7">
                    <c:v>high</c:v>
                  </c:pt>
                  <c:pt idx="8">
                    <c:v>ice cream</c:v>
                  </c:pt>
                </c:lvl>
                <c:lvl>
                  <c:pt idx="0">
                    <c:v>a</c:v>
                  </c:pt>
                  <c:pt idx="1">
                    <c:v>b</c:v>
                  </c:pt>
                  <c:pt idx="2">
                    <c:v>c</c:v>
                  </c:pt>
                  <c:pt idx="3">
                    <c:v>d</c:v>
                  </c:pt>
                  <c:pt idx="4">
                    <c:v>e</c:v>
                  </c:pt>
                  <c:pt idx="5">
                    <c:v>f</c:v>
                  </c:pt>
                  <c:pt idx="6">
                    <c:v>g</c:v>
                  </c:pt>
                  <c:pt idx="7">
                    <c:v>h</c:v>
                  </c:pt>
                  <c:pt idx="8">
                    <c:v>i</c:v>
                  </c:pt>
                </c:lvl>
              </c:multiLvlStrCache>
            </c:multiLvlStrRef>
          </c:cat>
          <c:val>
            <c:numRef>
              <c:f>Sheet1!$AC$21:$AC$29</c:f>
              <c:numCache>
                <c:formatCode>General</c:formatCode>
                <c:ptCount val="9"/>
                <c:pt idx="0">
                  <c:v>9</c:v>
                </c:pt>
                <c:pt idx="1">
                  <c:v>7</c:v>
                </c:pt>
                <c:pt idx="2">
                  <c:v>8.5</c:v>
                </c:pt>
                <c:pt idx="3">
                  <c:v>7</c:v>
                </c:pt>
                <c:pt idx="4">
                  <c:v>4</c:v>
                </c:pt>
                <c:pt idx="5">
                  <c:v>6</c:v>
                </c:pt>
                <c:pt idx="6">
                  <c:v>10</c:v>
                </c:pt>
                <c:pt idx="7">
                  <c:v>6</c:v>
                </c:pt>
                <c:pt idx="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6-4838-B760-72202FBC3B73}"/>
            </c:ext>
          </c:extLst>
        </c:ser>
        <c:ser>
          <c:idx val="1"/>
          <c:order val="1"/>
          <c:tx>
            <c:strRef>
              <c:f>Sheet1!$AD$20</c:f>
              <c:strCache>
                <c:ptCount val="1"/>
                <c:pt idx="0">
                  <c:v>value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multiLvlStrRef>
              <c:f>Sheet1!$AA$21:$AB$29</c:f>
              <c:multiLvlStrCache>
                <c:ptCount val="9"/>
                <c:lvl>
                  <c:pt idx="0">
                    <c:v>apple</c:v>
                  </c:pt>
                  <c:pt idx="1">
                    <c:v>ball</c:v>
                  </c:pt>
                  <c:pt idx="2">
                    <c:v>close</c:v>
                  </c:pt>
                  <c:pt idx="3">
                    <c:v>door</c:v>
                  </c:pt>
                  <c:pt idx="4">
                    <c:v>eng</c:v>
                  </c:pt>
                  <c:pt idx="5">
                    <c:v>fox</c:v>
                  </c:pt>
                  <c:pt idx="6">
                    <c:v>grapes</c:v>
                  </c:pt>
                  <c:pt idx="7">
                    <c:v>high</c:v>
                  </c:pt>
                  <c:pt idx="8">
                    <c:v>ice cream</c:v>
                  </c:pt>
                </c:lvl>
                <c:lvl>
                  <c:pt idx="0">
                    <c:v>a</c:v>
                  </c:pt>
                  <c:pt idx="1">
                    <c:v>b</c:v>
                  </c:pt>
                  <c:pt idx="2">
                    <c:v>c</c:v>
                  </c:pt>
                  <c:pt idx="3">
                    <c:v>d</c:v>
                  </c:pt>
                  <c:pt idx="4">
                    <c:v>e</c:v>
                  </c:pt>
                  <c:pt idx="5">
                    <c:v>f</c:v>
                  </c:pt>
                  <c:pt idx="6">
                    <c:v>g</c:v>
                  </c:pt>
                  <c:pt idx="7">
                    <c:v>h</c:v>
                  </c:pt>
                  <c:pt idx="8">
                    <c:v>i</c:v>
                  </c:pt>
                </c:lvl>
              </c:multiLvlStrCache>
            </c:multiLvlStrRef>
          </c:cat>
          <c:val>
            <c:numRef>
              <c:f>Sheet1!$AD$21:$AD$29</c:f>
              <c:numCache>
                <c:formatCode>General</c:formatCode>
                <c:ptCount val="9"/>
                <c:pt idx="0">
                  <c:v>250</c:v>
                </c:pt>
                <c:pt idx="1">
                  <c:v>50</c:v>
                </c:pt>
                <c:pt idx="2">
                  <c:v>80</c:v>
                </c:pt>
                <c:pt idx="3">
                  <c:v>700</c:v>
                </c:pt>
                <c:pt idx="4">
                  <c:v>100</c:v>
                </c:pt>
                <c:pt idx="5">
                  <c:v>400</c:v>
                </c:pt>
                <c:pt idx="6">
                  <c:v>1000</c:v>
                </c:pt>
                <c:pt idx="7">
                  <c:v>50</c:v>
                </c:pt>
                <c:pt idx="8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6-4838-B760-72202FBC3B73}"/>
            </c:ext>
          </c:extLst>
        </c:ser>
        <c:ser>
          <c:idx val="2"/>
          <c:order val="2"/>
          <c:tx>
            <c:strRef>
              <c:f>Sheet1!$AE$20</c:f>
              <c:strCache>
                <c:ptCount val="1"/>
                <c:pt idx="0">
                  <c:v>Column1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Sheet1!$AA$21:$AB$29</c:f>
              <c:multiLvlStrCache>
                <c:ptCount val="9"/>
                <c:lvl>
                  <c:pt idx="0">
                    <c:v>apple</c:v>
                  </c:pt>
                  <c:pt idx="1">
                    <c:v>ball</c:v>
                  </c:pt>
                  <c:pt idx="2">
                    <c:v>close</c:v>
                  </c:pt>
                  <c:pt idx="3">
                    <c:v>door</c:v>
                  </c:pt>
                  <c:pt idx="4">
                    <c:v>eng</c:v>
                  </c:pt>
                  <c:pt idx="5">
                    <c:v>fox</c:v>
                  </c:pt>
                  <c:pt idx="6">
                    <c:v>grapes</c:v>
                  </c:pt>
                  <c:pt idx="7">
                    <c:v>high</c:v>
                  </c:pt>
                  <c:pt idx="8">
                    <c:v>ice cream</c:v>
                  </c:pt>
                </c:lvl>
                <c:lvl>
                  <c:pt idx="0">
                    <c:v>a</c:v>
                  </c:pt>
                  <c:pt idx="1">
                    <c:v>b</c:v>
                  </c:pt>
                  <c:pt idx="2">
                    <c:v>c</c:v>
                  </c:pt>
                  <c:pt idx="3">
                    <c:v>d</c:v>
                  </c:pt>
                  <c:pt idx="4">
                    <c:v>e</c:v>
                  </c:pt>
                  <c:pt idx="5">
                    <c:v>f</c:v>
                  </c:pt>
                  <c:pt idx="6">
                    <c:v>g</c:v>
                  </c:pt>
                  <c:pt idx="7">
                    <c:v>h</c:v>
                  </c:pt>
                  <c:pt idx="8">
                    <c:v>i</c:v>
                  </c:pt>
                </c:lvl>
              </c:multiLvlStrCache>
            </c:multiLvlStrRef>
          </c:cat>
          <c:val>
            <c:numRef>
              <c:f>Sheet1!$AE$21:$AE$29</c:f>
              <c:numCache>
                <c:formatCode>General</c:formatCode>
                <c:ptCount val="9"/>
                <c:pt idx="0">
                  <c:v>259</c:v>
                </c:pt>
                <c:pt idx="1">
                  <c:v>57</c:v>
                </c:pt>
                <c:pt idx="2">
                  <c:v>88.5</c:v>
                </c:pt>
                <c:pt idx="3">
                  <c:v>707</c:v>
                </c:pt>
                <c:pt idx="4">
                  <c:v>104</c:v>
                </c:pt>
                <c:pt idx="5">
                  <c:v>406</c:v>
                </c:pt>
                <c:pt idx="6">
                  <c:v>1010</c:v>
                </c:pt>
                <c:pt idx="7">
                  <c:v>56</c:v>
                </c:pt>
                <c:pt idx="8">
                  <c:v>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6-4838-B760-72202FBC3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lt1"/>
              </a:solidFill>
              <a:round/>
            </a:ln>
            <a:effectLst/>
          </c:spPr>
        </c:hiLowLines>
        <c:axId val="311413087"/>
        <c:axId val="318234895"/>
      </c:stockChart>
      <c:catAx>
        <c:axId val="3114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234895"/>
        <c:crosses val="autoZero"/>
        <c:auto val="1"/>
        <c:lblAlgn val="ctr"/>
        <c:lblOffset val="100"/>
        <c:noMultiLvlLbl val="0"/>
      </c:catAx>
      <c:valAx>
        <c:axId val="31823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4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Sheet1!$R$4</c:f>
              <c:strCache>
                <c:ptCount val="1"/>
                <c:pt idx="0">
                  <c:v>UNIT PRICE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Sheet1!$R$5:$R$10</c:f>
              <c:numCache>
                <c:formatCode>General</c:formatCode>
                <c:ptCount val="6"/>
                <c:pt idx="0">
                  <c:v>40</c:v>
                </c:pt>
                <c:pt idx="1">
                  <c:v>120</c:v>
                </c:pt>
                <c:pt idx="2">
                  <c:v>25</c:v>
                </c:pt>
                <c:pt idx="3">
                  <c:v>100</c:v>
                </c:pt>
                <c:pt idx="4">
                  <c:v>60</c:v>
                </c:pt>
                <c:pt idx="5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A-4CC0-89C3-E9645DC77023}"/>
            </c:ext>
          </c:extLst>
        </c:ser>
        <c:ser>
          <c:idx val="1"/>
          <c:order val="1"/>
          <c:tx>
            <c:strRef>
              <c:f>Sheet1!$S$4</c:f>
              <c:strCache>
                <c:ptCount val="1"/>
                <c:pt idx="0">
                  <c:v>QTY.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Sheet1!$S$5:$S$10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7A-4CC0-89C3-E9645DC770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959398224"/>
        <c:axId val="855429968"/>
      </c:barChart>
      <c:catAx>
        <c:axId val="95939822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ajorTickMark val="out"/>
        <c:minorTickMark val="none"/>
        <c:tickLblPos val="nextTo"/>
        <c:crossAx val="855429968"/>
        <c:crosses val="autoZero"/>
        <c:auto val="1"/>
        <c:lblAlgn val="ctr"/>
        <c:lblOffset val="100"/>
        <c:noMultiLvlLbl val="0"/>
      </c:catAx>
      <c:valAx>
        <c:axId val="8554299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95939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408877</xdr:colOff>
      <xdr:row>12</xdr:row>
      <xdr:rowOff>138461</xdr:rowOff>
    </xdr:from>
    <xdr:to>
      <xdr:col>39</xdr:col>
      <xdr:colOff>86730</xdr:colOff>
      <xdr:row>26</xdr:row>
      <xdr:rowOff>171295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CF2DEC-7385-CE24-5372-FCACF0613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92927</xdr:colOff>
      <xdr:row>10</xdr:row>
      <xdr:rowOff>7745</xdr:rowOff>
    </xdr:from>
    <xdr:to>
      <xdr:col>16</xdr:col>
      <xdr:colOff>1</xdr:colOff>
      <xdr:row>19</xdr:row>
      <xdr:rowOff>7740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A4E1A3-0A3D-FF68-D09E-14BBA16CF9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34032B-CEBD-43E2-8E97-EC2349B84BF0}" name="Table1" displayName="Table1" ref="Z4:AG10" totalsRowShown="0" dataDxfId="16" dataCellStyle="Good">
  <tableColumns count="8">
    <tableColumn id="1" xr3:uid="{75D5843A-92D7-4D7B-8FD6-09296D6046B0}" name="student name" dataDxfId="15" dataCellStyle="Good"/>
    <tableColumn id="2" xr3:uid="{EE511977-0428-4DD2-8775-7DBAAE1011AE}" name="subjects" dataDxfId="14" dataCellStyle="Good"/>
    <tableColumn id="3" xr3:uid="{A43B78CD-D401-46D5-9052-B0DE2AC28839}" name="marks" dataDxfId="13" dataCellStyle="Percent"/>
    <tableColumn id="7" xr3:uid="{5E40BC67-44B0-4E8F-BC6E-3779079E9B1A}" name="Column1" dataDxfId="12" dataCellStyle="Good"/>
    <tableColumn id="4" xr3:uid="{81699359-3550-44BD-97F0-64EFCC7B9BD3}" name="grade" dataDxfId="11" dataCellStyle="Good">
      <calculatedColumnFormula>IF(marks&gt;=95,"A+","B")</calculatedColumnFormula>
    </tableColumn>
    <tableColumn id="5" xr3:uid="{9248B241-ABE0-477F-BC69-F49F32AF36EF}" name="st. gmails" dataDxfId="10" dataCellStyle="Good"/>
    <tableColumn id="6" xr3:uid="{E8657F88-D910-4AC8-822C-C8273F8107F6}" name="IFERROR" dataDxfId="9" dataCellStyle="Good">
      <calculatedColumnFormula>IFERROR(Table1[[#This Row],[marks]]/Table1[[#This Row],[Column1]],"False")</calculatedColumnFormula>
    </tableColumn>
    <tableColumn id="8" xr3:uid="{863D5A83-A32E-46F6-A6CA-393A8BDB04D6}" name="Column2" dataDxfId="8" dataCellStyle="Good">
      <calculatedColumnFormula>LEN(Table1[[#This Row],[st. gmails]])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1D09F43-332C-4068-8720-15D43D980A45}" name="Table8" displayName="Table8" ref="AA20:AE29" totalsRowShown="0" dataDxfId="7">
  <autoFilter ref="AA20:AE29" xr:uid="{81D09F43-332C-4068-8720-15D43D980A45}"/>
  <tableColumns count="5">
    <tableColumn id="1" xr3:uid="{ECB24561-8FC2-46FC-ADB4-CDB2B1245BF3}" name="alpabetical" dataDxfId="6"/>
    <tableColumn id="2" xr3:uid="{BF61F83D-8592-4E08-8EDD-5FDF02CF64C1}" name="name" dataDxfId="5"/>
    <tableColumn id="3" xr3:uid="{BFBE6450-1CF9-43A9-AED0-14C4A73F7154}" name="rank" dataDxfId="4"/>
    <tableColumn id="4" xr3:uid="{A96F1296-0B29-4376-8C86-86B54DE8545B}" name="value" dataDxfId="3"/>
    <tableColumn id="5" xr3:uid="{680433EC-2048-4C8A-BCB1-EDB4E05049E1}" name="Column1" dataDxfId="2">
      <calculatedColumnFormula>Table8[[#This Row],[rank]]+Table8[[#This Row],[value]]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82F26-C882-41EF-A41B-C0E33D339B32}" name="Table2" displayName="Table2" ref="A1:G8" totalsRowShown="0" headerRowDxfId="0" dataDxfId="25" headerRowBorderDxfId="26" tableBorderDxfId="24" totalsRowBorderDxfId="23">
  <tableColumns count="7">
    <tableColumn id="1" xr3:uid="{B56283BB-AF07-4862-81B2-09DA638D3524}" name="student name" dataDxfId="22"/>
    <tableColumn id="2" xr3:uid="{81138EB3-4928-4A83-AFFC-3724E1429286}" name="maths " dataDxfId="21"/>
    <tableColumn id="3" xr3:uid="{B0E8492E-BA53-4613-BA81-39F875867CC7}" name="science" dataDxfId="20">
      <calculatedColumnFormula>RANDBETWEEN(50,66)</calculatedColumnFormula>
    </tableColumn>
    <tableColumn id="4" xr3:uid="{11294772-02C9-4698-8910-CECDDD4C5683}" name="english" dataDxfId="19">
      <calculatedColumnFormula>RANDBETWEEN(55,66)</calculatedColumnFormula>
    </tableColumn>
    <tableColumn id="5" xr3:uid="{D506DEC0-F4D9-4AD3-8547-FD4909FE68B4}" name="chemistry" dataDxfId="18">
      <calculatedColumnFormula>RANDBETWEEN(50,66)</calculatedColumnFormula>
    </tableColumn>
    <tableColumn id="6" xr3:uid="{09B49C5B-04AA-4699-B923-8B9DA88B3F08}" name="gmails" dataDxfId="17"/>
    <tableColumn id="7" xr3:uid="{CDA5F492-9EAD-4C5A-9739-84D88F8E03D0}" name="percentag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mith.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kik.26@gmail.com" TargetMode="External"/><Relationship Id="rId7" Type="http://schemas.openxmlformats.org/officeDocument/2006/relationships/hyperlink" Target="mailto:tom.@gmail.com" TargetMode="External"/><Relationship Id="rId12" Type="http://schemas.openxmlformats.org/officeDocument/2006/relationships/hyperlink" Target="mailto:roy.@gmail.com" TargetMode="External"/><Relationship Id="rId2" Type="http://schemas.openxmlformats.org/officeDocument/2006/relationships/hyperlink" Target="mailto:suk.25@gmail.com" TargetMode="External"/><Relationship Id="rId16" Type="http://schemas.openxmlformats.org/officeDocument/2006/relationships/table" Target="../tables/table2.xml"/><Relationship Id="rId1" Type="http://schemas.openxmlformats.org/officeDocument/2006/relationships/hyperlink" Target="mailto:ank.23@gmail.com" TargetMode="External"/><Relationship Id="rId6" Type="http://schemas.openxmlformats.org/officeDocument/2006/relationships/hyperlink" Target="mailto:roy.@gmail.com" TargetMode="External"/><Relationship Id="rId11" Type="http://schemas.openxmlformats.org/officeDocument/2006/relationships/hyperlink" Target="mailto:amit.@gmail.com" TargetMode="External"/><Relationship Id="rId5" Type="http://schemas.openxmlformats.org/officeDocument/2006/relationships/hyperlink" Target="mailto:ajk.25@gmail.com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mailto:aman.@gmail.com" TargetMode="External"/><Relationship Id="rId4" Type="http://schemas.openxmlformats.org/officeDocument/2006/relationships/hyperlink" Target="mailto:amk.27@gmail.com" TargetMode="External"/><Relationship Id="rId9" Type="http://schemas.openxmlformats.org/officeDocument/2006/relationships/hyperlink" Target="mailto:stokes.@gmail.com" TargetMode="External"/><Relationship Id="rId1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mailto:amay.101@gmail.com" TargetMode="External"/><Relationship Id="rId7" Type="http://schemas.openxmlformats.org/officeDocument/2006/relationships/hyperlink" Target="mailto:roman.101@gmail.com" TargetMode="External"/><Relationship Id="rId2" Type="http://schemas.openxmlformats.org/officeDocument/2006/relationships/hyperlink" Target="mailto:ajit.101@gmail.com" TargetMode="External"/><Relationship Id="rId1" Type="http://schemas.openxmlformats.org/officeDocument/2006/relationships/hyperlink" Target="mailto:roy.101@gmail.com" TargetMode="External"/><Relationship Id="rId6" Type="http://schemas.openxmlformats.org/officeDocument/2006/relationships/hyperlink" Target="mailto:tom.101@gmail.com" TargetMode="External"/><Relationship Id="rId5" Type="http://schemas.openxmlformats.org/officeDocument/2006/relationships/hyperlink" Target="mailto:sam.101@gmail.com" TargetMode="External"/><Relationship Id="rId4" Type="http://schemas.openxmlformats.org/officeDocument/2006/relationships/hyperlink" Target="mailto:raj.10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74FB1-AD57-4850-AA87-E06A6A7A96BD}">
  <dimension ref="A2:AH35"/>
  <sheetViews>
    <sheetView topLeftCell="M1" zoomScale="123" zoomScaleNormal="130" workbookViewId="0">
      <pane ySplit="4" topLeftCell="A5" activePane="bottomLeft" state="frozen"/>
      <selection activeCell="U1" sqref="U1"/>
      <selection pane="bottomLeft" activeCell="S14" sqref="S14"/>
    </sheetView>
  </sheetViews>
  <sheetFormatPr defaultRowHeight="15" x14ac:dyDescent="0.25"/>
  <cols>
    <col min="4" max="4" width="10.5703125" bestFit="1" customWidth="1"/>
    <col min="6" max="6" width="13.7109375" style="4" bestFit="1" customWidth="1"/>
    <col min="7" max="7" width="17" bestFit="1" customWidth="1"/>
    <col min="8" max="8" width="11.7109375" bestFit="1" customWidth="1"/>
    <col min="10" max="10" width="11.7109375" bestFit="1" customWidth="1"/>
    <col min="15" max="15" width="10.28515625" bestFit="1" customWidth="1"/>
    <col min="17" max="17" width="10.85546875" bestFit="1" customWidth="1"/>
    <col min="18" max="18" width="10.5703125" bestFit="1" customWidth="1"/>
    <col min="24" max="24" width="15.5703125" bestFit="1" customWidth="1"/>
    <col min="26" max="26" width="14.5703125" customWidth="1"/>
    <col min="27" max="27" width="15.5703125" bestFit="1" customWidth="1"/>
    <col min="28" max="29" width="10.85546875" customWidth="1"/>
    <col min="30" max="30" width="10.42578125" customWidth="1"/>
    <col min="31" max="31" width="15.5703125" bestFit="1" customWidth="1"/>
  </cols>
  <sheetData>
    <row r="2" spans="1:33" s="34" customFormat="1" x14ac:dyDescent="0.25">
      <c r="A2" s="34" t="s">
        <v>99</v>
      </c>
    </row>
    <row r="4" spans="1:33" x14ac:dyDescent="0.25">
      <c r="A4" s="2" t="s">
        <v>0</v>
      </c>
      <c r="B4" s="2" t="s">
        <v>6</v>
      </c>
      <c r="C4" s="2" t="s">
        <v>1</v>
      </c>
      <c r="D4" s="2" t="s">
        <v>2</v>
      </c>
      <c r="E4" s="2" t="s">
        <v>9</v>
      </c>
      <c r="F4" s="2" t="s">
        <v>14</v>
      </c>
      <c r="G4" s="9" t="s">
        <v>30</v>
      </c>
      <c r="I4" t="s">
        <v>7</v>
      </c>
      <c r="J4" t="s">
        <v>8</v>
      </c>
      <c r="O4" s="12" t="s">
        <v>33</v>
      </c>
      <c r="P4" s="12" t="s">
        <v>34</v>
      </c>
      <c r="Q4" s="12" t="s">
        <v>35</v>
      </c>
      <c r="R4" s="12" t="s">
        <v>36</v>
      </c>
      <c r="S4" s="12" t="s">
        <v>37</v>
      </c>
      <c r="T4" s="12" t="s">
        <v>38</v>
      </c>
      <c r="W4" s="10">
        <v>23</v>
      </c>
      <c r="Z4" t="s">
        <v>52</v>
      </c>
      <c r="AA4" t="s">
        <v>53</v>
      </c>
      <c r="AB4" t="s">
        <v>54</v>
      </c>
      <c r="AC4" t="s">
        <v>74</v>
      </c>
      <c r="AD4" t="s">
        <v>65</v>
      </c>
      <c r="AE4" t="s">
        <v>66</v>
      </c>
      <c r="AF4" t="s">
        <v>73</v>
      </c>
      <c r="AG4" t="s">
        <v>76</v>
      </c>
    </row>
    <row r="5" spans="1:33" x14ac:dyDescent="0.25">
      <c r="A5" s="3">
        <v>1</v>
      </c>
      <c r="B5" s="3">
        <v>23</v>
      </c>
      <c r="C5" s="3" t="s">
        <v>22</v>
      </c>
      <c r="D5" s="3">
        <v>23000</v>
      </c>
      <c r="E5" s="5">
        <f>D5*5%</f>
        <v>1150</v>
      </c>
      <c r="F5" s="5">
        <f>D5+E5</f>
        <v>24150</v>
      </c>
      <c r="G5" s="7" t="s">
        <v>24</v>
      </c>
      <c r="I5" t="s">
        <v>10</v>
      </c>
      <c r="J5" t="s">
        <v>11</v>
      </c>
      <c r="O5" s="5" t="s">
        <v>39</v>
      </c>
      <c r="P5" s="5" t="s">
        <v>45</v>
      </c>
      <c r="Q5" s="5" t="s">
        <v>47</v>
      </c>
      <c r="R5" s="5">
        <v>40</v>
      </c>
      <c r="S5" s="5">
        <v>2</v>
      </c>
      <c r="T5" s="5">
        <v>80</v>
      </c>
      <c r="W5" s="10">
        <v>24</v>
      </c>
      <c r="Z5" s="17" t="s">
        <v>55</v>
      </c>
      <c r="AA5" s="17" t="s">
        <v>61</v>
      </c>
      <c r="AB5" s="18">
        <v>88</v>
      </c>
      <c r="AC5" s="17">
        <v>8</v>
      </c>
      <c r="AD5" s="17" t="str">
        <f t="shared" ref="AD5:AD10" si="0">IF(marks&gt;=95,"A+","B")</f>
        <v>B</v>
      </c>
      <c r="AE5" s="17" t="s">
        <v>67</v>
      </c>
      <c r="AF5" s="17">
        <f>IFERROR(Table1[[#This Row],[marks]]/Table1[[#This Row],[Column1]],"False")</f>
        <v>11</v>
      </c>
      <c r="AG5" s="17">
        <f>LEN(Table1[[#This Row],[st. gmails]])</f>
        <v>14</v>
      </c>
    </row>
    <row r="6" spans="1:33" x14ac:dyDescent="0.25">
      <c r="A6" s="3">
        <v>2</v>
      </c>
      <c r="B6" s="3">
        <v>25</v>
      </c>
      <c r="C6" s="3" t="s">
        <v>3</v>
      </c>
      <c r="D6" s="3">
        <v>45000</v>
      </c>
      <c r="E6" s="5">
        <f t="shared" ref="E6:E9" si="1">D6*5%</f>
        <v>2250</v>
      </c>
      <c r="F6" s="5">
        <f t="shared" ref="F6:F8" si="2">D6+E6</f>
        <v>47250</v>
      </c>
      <c r="G6" s="7" t="s">
        <v>25</v>
      </c>
      <c r="I6" t="s">
        <v>12</v>
      </c>
      <c r="J6" t="s">
        <v>13</v>
      </c>
      <c r="O6" s="5" t="s">
        <v>40</v>
      </c>
      <c r="P6" s="5" t="s">
        <v>46</v>
      </c>
      <c r="Q6" s="5" t="s">
        <v>47</v>
      </c>
      <c r="R6" s="5">
        <v>120</v>
      </c>
      <c r="S6" s="5">
        <v>2</v>
      </c>
      <c r="T6" s="5">
        <v>240</v>
      </c>
      <c r="W6" s="10" t="b">
        <v>1</v>
      </c>
      <c r="X6">
        <f>COUNTA(W4:W9)</f>
        <v>6</v>
      </c>
      <c r="Z6" s="17" t="s">
        <v>56</v>
      </c>
      <c r="AA6" s="17" t="s">
        <v>62</v>
      </c>
      <c r="AB6" s="18">
        <v>75</v>
      </c>
      <c r="AC6" s="17">
        <v>6</v>
      </c>
      <c r="AD6" s="17" t="str">
        <f t="shared" si="0"/>
        <v>B</v>
      </c>
      <c r="AE6" s="17" t="s">
        <v>68</v>
      </c>
      <c r="AF6" s="19">
        <f>IFERROR(Table1[[#This Row],[marks]]/Table1[[#This Row],[Column1]],"False")</f>
        <v>12.5</v>
      </c>
      <c r="AG6" s="17">
        <f>LEN(Table1[[#This Row],[st. gmails]])</f>
        <v>14</v>
      </c>
    </row>
    <row r="7" spans="1:33" x14ac:dyDescent="0.25">
      <c r="A7" s="3">
        <v>3</v>
      </c>
      <c r="B7" s="3">
        <v>26</v>
      </c>
      <c r="C7" s="3" t="s">
        <v>5</v>
      </c>
      <c r="D7" s="3">
        <v>46000</v>
      </c>
      <c r="E7" s="5">
        <f t="shared" si="1"/>
        <v>2300</v>
      </c>
      <c r="F7" s="5">
        <f t="shared" si="2"/>
        <v>48300</v>
      </c>
      <c r="G7" s="7" t="s">
        <v>26</v>
      </c>
      <c r="I7" t="s">
        <v>15</v>
      </c>
      <c r="J7" t="s">
        <v>16</v>
      </c>
      <c r="O7" s="5" t="s">
        <v>44</v>
      </c>
      <c r="P7" s="5" t="s">
        <v>46</v>
      </c>
      <c r="Q7" s="5" t="s">
        <v>48</v>
      </c>
      <c r="R7" s="5">
        <v>25</v>
      </c>
      <c r="S7" s="5">
        <v>2</v>
      </c>
      <c r="T7" s="5">
        <v>50</v>
      </c>
      <c r="W7" s="10">
        <v>25</v>
      </c>
      <c r="X7">
        <f>COUNTBLANK(W4:W9)</f>
        <v>0</v>
      </c>
      <c r="Z7" s="17" t="s">
        <v>57</v>
      </c>
      <c r="AA7" s="17" t="s">
        <v>61</v>
      </c>
      <c r="AB7" s="18">
        <v>80</v>
      </c>
      <c r="AC7" s="17">
        <v>55</v>
      </c>
      <c r="AD7" s="17" t="str">
        <f t="shared" si="0"/>
        <v>B</v>
      </c>
      <c r="AE7" s="17" t="s">
        <v>69</v>
      </c>
      <c r="AF7" s="19">
        <f>IFERROR(Table1[[#This Row],[marks]]/Table1[[#This Row],[Column1]],"False")</f>
        <v>1.4545454545454546</v>
      </c>
      <c r="AG7" s="17">
        <f>LEN(Table1[[#This Row],[st. gmails]])</f>
        <v>16</v>
      </c>
    </row>
    <row r="8" spans="1:33" x14ac:dyDescent="0.25">
      <c r="A8" s="3">
        <v>4</v>
      </c>
      <c r="B8" s="3">
        <v>27</v>
      </c>
      <c r="C8" s="3" t="s">
        <v>4</v>
      </c>
      <c r="D8" s="3">
        <v>30000</v>
      </c>
      <c r="E8" s="5">
        <f t="shared" si="1"/>
        <v>1500</v>
      </c>
      <c r="F8" s="5">
        <f t="shared" si="2"/>
        <v>31500</v>
      </c>
      <c r="G8" s="7" t="s">
        <v>27</v>
      </c>
      <c r="I8" t="s">
        <v>18</v>
      </c>
      <c r="J8" t="s">
        <v>19</v>
      </c>
      <c r="O8" s="5" t="s">
        <v>42</v>
      </c>
      <c r="P8" s="5" t="s">
        <v>46</v>
      </c>
      <c r="Q8" s="5" t="s">
        <v>48</v>
      </c>
      <c r="R8" s="5">
        <v>100</v>
      </c>
      <c r="S8" s="5">
        <v>3</v>
      </c>
      <c r="T8" s="5">
        <v>300</v>
      </c>
      <c r="W8" s="10" t="s">
        <v>49</v>
      </c>
      <c r="Z8" s="17" t="s">
        <v>58</v>
      </c>
      <c r="AA8" s="17" t="s">
        <v>63</v>
      </c>
      <c r="AB8" s="18">
        <v>93</v>
      </c>
      <c r="AC8" s="17">
        <v>0</v>
      </c>
      <c r="AD8" s="17" t="str">
        <f t="shared" si="0"/>
        <v>B</v>
      </c>
      <c r="AE8" s="17" t="s">
        <v>70</v>
      </c>
      <c r="AF8" s="17" t="str">
        <f>IFERROR(Table1[[#This Row],[marks]]/Table1[[#This Row],[Column1]],"False")</f>
        <v>False</v>
      </c>
      <c r="AG8" s="17">
        <f>LEN(Table1[[#This Row],[st. gmails]])</f>
        <v>17</v>
      </c>
    </row>
    <row r="9" spans="1:33" ht="15.75" x14ac:dyDescent="0.25">
      <c r="A9" s="3">
        <v>5</v>
      </c>
      <c r="B9" s="3">
        <v>25</v>
      </c>
      <c r="C9" s="3" t="s">
        <v>17</v>
      </c>
      <c r="D9" s="3">
        <v>25000</v>
      </c>
      <c r="E9" s="5">
        <f t="shared" si="1"/>
        <v>1250</v>
      </c>
      <c r="F9" s="6">
        <f>D9+E9</f>
        <v>26250</v>
      </c>
      <c r="G9" s="7" t="s">
        <v>28</v>
      </c>
      <c r="I9" t="s">
        <v>20</v>
      </c>
      <c r="J9" t="s">
        <v>21</v>
      </c>
      <c r="O9" s="5" t="s">
        <v>41</v>
      </c>
      <c r="P9" s="5" t="s">
        <v>45</v>
      </c>
      <c r="Q9" s="5" t="s">
        <v>48</v>
      </c>
      <c r="R9" s="5">
        <v>60</v>
      </c>
      <c r="S9" s="5">
        <v>4</v>
      </c>
      <c r="T9" s="5">
        <v>240</v>
      </c>
      <c r="W9" s="10">
        <v>30</v>
      </c>
      <c r="Z9" s="17" t="s">
        <v>59</v>
      </c>
      <c r="AA9" s="17" t="s">
        <v>62</v>
      </c>
      <c r="AB9" s="18">
        <v>99</v>
      </c>
      <c r="AC9" s="17" t="s">
        <v>75</v>
      </c>
      <c r="AD9" s="17" t="str">
        <f t="shared" si="0"/>
        <v>A+</v>
      </c>
      <c r="AE9" s="17" t="s">
        <v>71</v>
      </c>
      <c r="AF9" s="17" t="str">
        <f>IFERROR(Table1[[#This Row],[marks]]/Table1[[#This Row],[Column1]],"False")</f>
        <v>False</v>
      </c>
      <c r="AG9" s="17">
        <f>LEN(Table1[[#This Row],[st. gmails]])</f>
        <v>15</v>
      </c>
    </row>
    <row r="10" spans="1:33" x14ac:dyDescent="0.25">
      <c r="A10" s="1"/>
      <c r="B10" s="1"/>
      <c r="C10" s="1"/>
      <c r="D10" s="1"/>
      <c r="O10" s="5" t="s">
        <v>43</v>
      </c>
      <c r="P10" s="5" t="s">
        <v>46</v>
      </c>
      <c r="Q10" s="5" t="s">
        <v>47</v>
      </c>
      <c r="R10" s="5">
        <v>120</v>
      </c>
      <c r="S10" s="5">
        <v>6</v>
      </c>
      <c r="T10" s="5">
        <v>720</v>
      </c>
      <c r="Z10" s="17" t="s">
        <v>60</v>
      </c>
      <c r="AA10" s="17" t="s">
        <v>64</v>
      </c>
      <c r="AB10" s="18">
        <v>95</v>
      </c>
      <c r="AC10" s="17">
        <v>0</v>
      </c>
      <c r="AD10" s="17" t="str">
        <f t="shared" si="0"/>
        <v>A+</v>
      </c>
      <c r="AE10" s="17" t="s">
        <v>72</v>
      </c>
      <c r="AF10" s="17" t="str">
        <f>IFERROR(Table1[[#This Row],[marks]]/Table1[[#This Row],[Column1]],"False")</f>
        <v>False</v>
      </c>
      <c r="AG10" s="17">
        <f>LEN(Table1[[#This Row],[st. gmails]])</f>
        <v>15</v>
      </c>
    </row>
    <row r="11" spans="1:33" x14ac:dyDescent="0.25">
      <c r="A11" s="1"/>
      <c r="B11" s="1"/>
      <c r="C11" s="2" t="s">
        <v>1</v>
      </c>
      <c r="D11" s="2" t="s">
        <v>23</v>
      </c>
      <c r="F11" s="22" t="s">
        <v>31</v>
      </c>
      <c r="G11" s="22" t="s">
        <v>32</v>
      </c>
    </row>
    <row r="12" spans="1:33" x14ac:dyDescent="0.25">
      <c r="A12" s="1"/>
      <c r="B12" s="1"/>
      <c r="C12" s="3" t="s">
        <v>22</v>
      </c>
      <c r="D12" s="1">
        <v>30</v>
      </c>
      <c r="F12" s="23">
        <v>46023</v>
      </c>
      <c r="G12" s="5">
        <v>205</v>
      </c>
      <c r="I12">
        <v>200</v>
      </c>
      <c r="Q12">
        <f>COUNTIF(Q5:Q10,"Fruit")</f>
        <v>3</v>
      </c>
      <c r="R12">
        <f>SUMIF(Q5:Q10,"Fruit",S5:S10)</f>
        <v>10</v>
      </c>
      <c r="AA12" s="16" t="s">
        <v>52</v>
      </c>
      <c r="AB12" s="15" t="s">
        <v>54</v>
      </c>
    </row>
    <row r="13" spans="1:33" x14ac:dyDescent="0.25">
      <c r="A13" s="1"/>
      <c r="B13" s="1"/>
      <c r="C13" s="3" t="s">
        <v>4</v>
      </c>
      <c r="D13" s="1">
        <v>45</v>
      </c>
      <c r="F13" s="23">
        <v>46054</v>
      </c>
      <c r="G13" s="5">
        <v>206.7</v>
      </c>
      <c r="Q13">
        <f>COUNTIFS(P5:P10,"Frozen",Q5:Q10,"vegetable")</f>
        <v>2</v>
      </c>
      <c r="R13">
        <f>SUMIFS(S5:S10,P5:P10,"Frozen",Q5:Q10,"Fruit")</f>
        <v>8</v>
      </c>
      <c r="AA13" s="13" t="s">
        <v>55</v>
      </c>
      <c r="AB13">
        <f>VLOOKUP(AA13,Table1[],3,0)</f>
        <v>88</v>
      </c>
    </row>
    <row r="14" spans="1:33" x14ac:dyDescent="0.25">
      <c r="A14" s="1"/>
      <c r="B14" s="1"/>
      <c r="C14" s="3" t="s">
        <v>5</v>
      </c>
      <c r="D14" s="1">
        <v>44</v>
      </c>
      <c r="F14" s="23">
        <v>46082</v>
      </c>
      <c r="G14" s="5">
        <v>205</v>
      </c>
      <c r="K14">
        <f>I12+I15</f>
        <v>600</v>
      </c>
      <c r="AA14" t="s">
        <v>56</v>
      </c>
    </row>
    <row r="15" spans="1:33" x14ac:dyDescent="0.25">
      <c r="A15" s="1"/>
      <c r="B15" s="1"/>
      <c r="C15" s="3" t="s">
        <v>17</v>
      </c>
      <c r="D15" s="1">
        <v>15</v>
      </c>
      <c r="F15" s="23">
        <v>46113</v>
      </c>
      <c r="G15" s="5">
        <v>207.1</v>
      </c>
      <c r="I15">
        <v>400</v>
      </c>
      <c r="Q15" t="s">
        <v>51</v>
      </c>
      <c r="R15" t="s">
        <v>50</v>
      </c>
      <c r="AA15" t="s">
        <v>60</v>
      </c>
    </row>
    <row r="16" spans="1:33" x14ac:dyDescent="0.25">
      <c r="A16" s="1"/>
      <c r="B16" s="1"/>
      <c r="C16" s="8" t="s">
        <v>29</v>
      </c>
      <c r="D16" s="1">
        <v>45</v>
      </c>
      <c r="F16" s="23">
        <v>46143</v>
      </c>
      <c r="G16" s="5">
        <v>208.1</v>
      </c>
      <c r="Q16" s="5" t="s">
        <v>39</v>
      </c>
      <c r="R16" s="5" t="s">
        <v>45</v>
      </c>
    </row>
    <row r="17" spans="1:34" x14ac:dyDescent="0.25">
      <c r="F17" s="23">
        <v>46174</v>
      </c>
      <c r="G17" s="5">
        <v>207.9</v>
      </c>
      <c r="K17">
        <f>I12*5</f>
        <v>1000</v>
      </c>
      <c r="Q17" s="5" t="s">
        <v>40</v>
      </c>
      <c r="R17" s="5" t="s">
        <v>46</v>
      </c>
      <c r="X17" s="14" t="s">
        <v>67</v>
      </c>
    </row>
    <row r="18" spans="1:34" x14ac:dyDescent="0.25">
      <c r="F18" s="23">
        <v>46204</v>
      </c>
      <c r="G18" s="5">
        <v>208.2</v>
      </c>
      <c r="Q18" s="5" t="s">
        <v>41</v>
      </c>
      <c r="R18" s="5" t="s">
        <v>45</v>
      </c>
    </row>
    <row r="19" spans="1:34" x14ac:dyDescent="0.25">
      <c r="K19">
        <f>I15*6</f>
        <v>2400</v>
      </c>
      <c r="Q19" s="5" t="s">
        <v>42</v>
      </c>
      <c r="R19" s="5" t="s">
        <v>46</v>
      </c>
    </row>
    <row r="20" spans="1:34" x14ac:dyDescent="0.25">
      <c r="C20" s="24"/>
      <c r="I20">
        <v>1000</v>
      </c>
      <c r="Q20" s="5" t="s">
        <v>43</v>
      </c>
      <c r="R20" s="5" t="s">
        <v>46</v>
      </c>
      <c r="AA20" t="s">
        <v>77</v>
      </c>
      <c r="AB20" t="s">
        <v>78</v>
      </c>
      <c r="AC20" t="s">
        <v>79</v>
      </c>
      <c r="AD20" t="s">
        <v>80</v>
      </c>
      <c r="AE20" t="s">
        <v>74</v>
      </c>
    </row>
    <row r="21" spans="1:34" x14ac:dyDescent="0.25">
      <c r="Q21" s="5" t="s">
        <v>44</v>
      </c>
      <c r="R21" s="5" t="s">
        <v>46</v>
      </c>
      <c r="AA21" s="21" t="s">
        <v>81</v>
      </c>
      <c r="AB21" s="20" t="s">
        <v>90</v>
      </c>
      <c r="AC21" s="20">
        <v>9</v>
      </c>
      <c r="AD21" s="20">
        <v>250</v>
      </c>
      <c r="AE21" s="20">
        <f>Table8[[#This Row],[rank]]+Table8[[#This Row],[value]]</f>
        <v>259</v>
      </c>
    </row>
    <row r="22" spans="1:34" x14ac:dyDescent="0.25">
      <c r="AA22" s="21" t="s">
        <v>82</v>
      </c>
      <c r="AB22" s="20" t="s">
        <v>91</v>
      </c>
      <c r="AC22" s="20">
        <v>7</v>
      </c>
      <c r="AD22" s="20">
        <v>50</v>
      </c>
      <c r="AE22" s="20">
        <f>Table8[[#This Row],[rank]]+Table8[[#This Row],[value]]</f>
        <v>57</v>
      </c>
    </row>
    <row r="23" spans="1:34" x14ac:dyDescent="0.25">
      <c r="K23">
        <f>I20+55</f>
        <v>1055</v>
      </c>
      <c r="Q23" t="s">
        <v>42</v>
      </c>
      <c r="R23" t="s">
        <v>46</v>
      </c>
      <c r="AA23" s="21" t="s">
        <v>83</v>
      </c>
      <c r="AB23" s="20" t="s">
        <v>92</v>
      </c>
      <c r="AC23" s="20">
        <v>8.5</v>
      </c>
      <c r="AD23" s="20">
        <v>80</v>
      </c>
      <c r="AE23" s="20">
        <f>Table8[[#This Row],[rank]]+Table8[[#This Row],[value]]</f>
        <v>88.5</v>
      </c>
      <c r="AH23" s="7"/>
    </row>
    <row r="24" spans="1:34" x14ac:dyDescent="0.25">
      <c r="AA24" s="21" t="s">
        <v>84</v>
      </c>
      <c r="AB24" s="20" t="s">
        <v>93</v>
      </c>
      <c r="AC24" s="20">
        <v>7</v>
      </c>
      <c r="AD24" s="20">
        <v>700</v>
      </c>
      <c r="AE24" s="20">
        <f>Table8[[#This Row],[rank]]+Table8[[#This Row],[value]]</f>
        <v>707</v>
      </c>
      <c r="AH24" s="7"/>
    </row>
    <row r="25" spans="1:34" x14ac:dyDescent="0.25">
      <c r="Q25">
        <f>SUMIFS(T5:T10,Q16:Q21,Q23,P5:P10,R23)</f>
        <v>300</v>
      </c>
      <c r="AA25" s="21" t="s">
        <v>85</v>
      </c>
      <c r="AB25" s="20" t="s">
        <v>94</v>
      </c>
      <c r="AC25" s="20">
        <v>4</v>
      </c>
      <c r="AD25" s="20">
        <v>100</v>
      </c>
      <c r="AE25" s="20">
        <f>Table8[[#This Row],[rank]]+Table8[[#This Row],[value]]</f>
        <v>104</v>
      </c>
      <c r="AH25" s="7"/>
    </row>
    <row r="26" spans="1:34" x14ac:dyDescent="0.25">
      <c r="A26" s="11"/>
      <c r="B26" s="11"/>
      <c r="C26" s="11"/>
      <c r="D26" s="11"/>
      <c r="E26" s="11"/>
      <c r="F26" s="11"/>
      <c r="AA26" s="21" t="s">
        <v>86</v>
      </c>
      <c r="AB26" s="20" t="s">
        <v>95</v>
      </c>
      <c r="AC26" s="20">
        <v>6</v>
      </c>
      <c r="AD26" s="20">
        <v>400</v>
      </c>
      <c r="AE26" s="20">
        <f>Table8[[#This Row],[rank]]+Table8[[#This Row],[value]]</f>
        <v>406</v>
      </c>
      <c r="AH26" s="7"/>
    </row>
    <row r="27" spans="1:34" x14ac:dyDescent="0.25">
      <c r="A27" s="10"/>
      <c r="B27" s="10"/>
      <c r="C27" s="10"/>
      <c r="D27" s="10"/>
      <c r="E27" s="10"/>
      <c r="F27" s="10"/>
      <c r="AA27" s="21" t="s">
        <v>87</v>
      </c>
      <c r="AB27" s="20" t="s">
        <v>96</v>
      </c>
      <c r="AC27" s="20">
        <v>10</v>
      </c>
      <c r="AD27" s="20">
        <v>1000</v>
      </c>
      <c r="AE27" s="20">
        <f>Table8[[#This Row],[rank]]+Table8[[#This Row],[value]]</f>
        <v>1010</v>
      </c>
      <c r="AH27" s="7"/>
    </row>
    <row r="28" spans="1:34" x14ac:dyDescent="0.25">
      <c r="A28" s="10"/>
      <c r="B28" s="10"/>
      <c r="C28" s="10"/>
      <c r="D28" s="10"/>
      <c r="E28" s="10"/>
      <c r="F28" s="10"/>
      <c r="J28">
        <v>200</v>
      </c>
      <c r="AA28" s="21" t="s">
        <v>88</v>
      </c>
      <c r="AB28" s="20" t="s">
        <v>97</v>
      </c>
      <c r="AC28" s="20">
        <v>6</v>
      </c>
      <c r="AD28" s="20">
        <v>50</v>
      </c>
      <c r="AE28" s="20">
        <f>Table8[[#This Row],[rank]]+Table8[[#This Row],[value]]</f>
        <v>56</v>
      </c>
      <c r="AH28" s="7"/>
    </row>
    <row r="29" spans="1:34" x14ac:dyDescent="0.25">
      <c r="A29" s="10"/>
      <c r="B29" s="10"/>
      <c r="C29" s="10"/>
      <c r="D29" s="10"/>
      <c r="E29" s="10"/>
      <c r="F29" s="10"/>
      <c r="L29">
        <f>J28+J30</f>
        <v>500</v>
      </c>
      <c r="AA29" s="21" t="s">
        <v>89</v>
      </c>
      <c r="AB29" s="20" t="s">
        <v>98</v>
      </c>
      <c r="AC29" s="20">
        <v>9</v>
      </c>
      <c r="AD29" s="20">
        <v>70</v>
      </c>
      <c r="AE29" s="20">
        <f>Table8[[#This Row],[rank]]+Table8[[#This Row],[value]]</f>
        <v>79</v>
      </c>
    </row>
    <row r="30" spans="1:34" x14ac:dyDescent="0.25">
      <c r="A30" s="10"/>
      <c r="B30" s="10"/>
      <c r="C30" s="10"/>
      <c r="D30" s="10"/>
      <c r="E30" s="10"/>
      <c r="F30" s="10"/>
      <c r="J30">
        <v>300</v>
      </c>
    </row>
    <row r="31" spans="1:34" x14ac:dyDescent="0.25">
      <c r="A31" s="10"/>
      <c r="B31" s="10"/>
      <c r="C31" s="10"/>
      <c r="D31" s="10"/>
      <c r="E31" s="10"/>
      <c r="F31" s="10"/>
    </row>
    <row r="32" spans="1:34" x14ac:dyDescent="0.25">
      <c r="A32" s="10"/>
      <c r="B32" s="10"/>
      <c r="C32" s="10"/>
      <c r="D32" s="10"/>
      <c r="E32" s="10"/>
      <c r="F32" s="10"/>
    </row>
    <row r="33" spans="1:6" x14ac:dyDescent="0.25">
      <c r="A33" s="11"/>
      <c r="B33" s="11"/>
      <c r="C33" s="11"/>
      <c r="D33" s="11"/>
      <c r="E33" s="11"/>
      <c r="F33" s="11"/>
    </row>
    <row r="34" spans="1:6" x14ac:dyDescent="0.25">
      <c r="A34" s="10"/>
      <c r="B34" s="10"/>
      <c r="C34" s="10"/>
      <c r="D34" s="10"/>
      <c r="E34" s="10"/>
      <c r="F34" s="10"/>
    </row>
    <row r="35" spans="1:6" x14ac:dyDescent="0.25">
      <c r="A35" s="10"/>
      <c r="B35" s="10"/>
      <c r="C35" s="10"/>
      <c r="D35" s="10"/>
      <c r="E35" s="10"/>
      <c r="F35" s="10"/>
    </row>
  </sheetData>
  <autoFilter ref="O4:T10" xr:uid="{6FC74FB1-AD57-4850-AA87-E06A6A7A96BD}">
    <sortState xmlns:xlrd2="http://schemas.microsoft.com/office/spreadsheetml/2017/richdata2" ref="O5:T10">
      <sortCondition ref="S4:S10"/>
    </sortState>
  </autoFilter>
  <mergeCells count="1">
    <mergeCell ref="A2:XFD2"/>
  </mergeCells>
  <phoneticPr fontId="3" type="noConversion"/>
  <conditionalFormatting sqref="D11:D1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{48A0BBBF-327F-4F1E-9441-CADF718150DB}</x14:id>
        </ext>
      </extLst>
    </cfRule>
  </conditionalFormatting>
  <conditionalFormatting sqref="AB30:AC1048576 AB4:AC11 AB13:AC17 AC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{D112B2C1-F653-4E25-A221-59F742710B7E}</x14:id>
        </ext>
      </extLst>
    </cfRule>
  </conditionalFormatting>
  <conditionalFormatting sqref="AE21:AE29">
    <cfRule type="iconSet" priority="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dataValidations count="2">
    <dataValidation type="list" allowBlank="1" showInputMessage="1" showErrorMessage="1" sqref="Q23" xr:uid="{179EE944-FFB1-4A7D-8AAA-099D5A8C61C5}">
      <formula1>$O$5:$O$9</formula1>
    </dataValidation>
    <dataValidation type="list" allowBlank="1" showInputMessage="1" showErrorMessage="1" sqref="R16:R21 R23" xr:uid="{994FC5CE-974B-47DC-B8AC-D273DD4BE681}">
      <formula1>$P$5:$P$10</formula1>
    </dataValidation>
  </dataValidations>
  <hyperlinks>
    <hyperlink ref="G5" r:id="rId1" xr:uid="{8CDFE076-B84D-47F7-81DC-EBE01424DE7D}"/>
    <hyperlink ref="G6" r:id="rId2" xr:uid="{37DF5225-85FB-4F03-81A8-4A159C453842}"/>
    <hyperlink ref="G7" r:id="rId3" xr:uid="{450BF1C8-AF3C-42FA-A402-88E9E5A8AD6E}"/>
    <hyperlink ref="G8" r:id="rId4" xr:uid="{D09DE00B-C751-41DE-9407-23E1A969194B}"/>
    <hyperlink ref="G9" r:id="rId5" xr:uid="{CE0B6BFB-416D-4DC4-89A9-32AEA3FCD8B9}"/>
    <hyperlink ref="AE5" r:id="rId6" xr:uid="{8BCC57DF-F199-48BD-B9B2-36A163AC2B7E}"/>
    <hyperlink ref="AE6" r:id="rId7" xr:uid="{C363DF98-B913-4F52-8D61-E4E2CEE8989F}"/>
    <hyperlink ref="AE7" r:id="rId8" xr:uid="{D6B9E294-D4A0-4D86-BF3C-EB5812A8A18A}"/>
    <hyperlink ref="AE8" r:id="rId9" xr:uid="{5E3054B8-9D43-4564-810F-75FDBE0DDE5C}"/>
    <hyperlink ref="AE9" r:id="rId10" xr:uid="{20AB87D2-6B90-4AE2-92AD-B1505A6C243F}"/>
    <hyperlink ref="AE10" r:id="rId11" xr:uid="{BA487083-1955-4B5F-A7AA-75CA81171D32}"/>
    <hyperlink ref="X17" r:id="rId12" xr:uid="{257603B7-9B4A-4504-83A8-73CCA40D8EE7}"/>
  </hyperlinks>
  <pageMargins left="0.7" right="0.7" top="0.75" bottom="0.75" header="0.3" footer="0.3"/>
  <pageSetup orientation="portrait" r:id="rId13"/>
  <drawing r:id="rId14"/>
  <tableParts count="2">
    <tablePart r:id="rId15"/>
    <tablePart r:id="rId1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A0BBBF-327F-4F1E-9441-CADF718150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D11:D16</xm:sqref>
        </x14:conditionalFormatting>
        <x14:conditionalFormatting xmlns:xm="http://schemas.microsoft.com/office/excel/2006/main">
          <x14:cfRule type="dataBar" id="{D112B2C1-F653-4E25-A221-59F742710B7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AB30:AC1048576 AB4:AC11 AB13:AC17 AC12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9D73F-6F60-4BE9-880B-44F6295A60F0}">
  <dimension ref="A1:G15"/>
  <sheetViews>
    <sheetView tabSelected="1" workbookViewId="0">
      <pane ySplit="1" topLeftCell="A2" activePane="bottomLeft" state="frozen"/>
      <selection pane="bottomLeft" activeCell="D16" sqref="D16"/>
    </sheetView>
  </sheetViews>
  <sheetFormatPr defaultRowHeight="15" x14ac:dyDescent="0.25"/>
  <cols>
    <col min="1" max="1" width="15.42578125" customWidth="1"/>
    <col min="2" max="2" width="9" customWidth="1"/>
    <col min="3" max="3" width="9.7109375" customWidth="1"/>
    <col min="4" max="4" width="9.5703125" customWidth="1"/>
    <col min="5" max="5" width="11.85546875" customWidth="1"/>
    <col min="6" max="6" width="18.7109375" bestFit="1" customWidth="1"/>
    <col min="7" max="7" width="11" bestFit="1" customWidth="1"/>
  </cols>
  <sheetData>
    <row r="1" spans="1:7" x14ac:dyDescent="0.25">
      <c r="A1" s="36" t="s">
        <v>52</v>
      </c>
      <c r="B1" s="37" t="s">
        <v>100</v>
      </c>
      <c r="C1" s="37" t="s">
        <v>62</v>
      </c>
      <c r="D1" s="37" t="s">
        <v>63</v>
      </c>
      <c r="E1" s="38" t="s">
        <v>101</v>
      </c>
      <c r="F1" s="37" t="s">
        <v>107</v>
      </c>
      <c r="G1" s="37" t="s">
        <v>115</v>
      </c>
    </row>
    <row r="2" spans="1:7" x14ac:dyDescent="0.25">
      <c r="A2" s="26" t="s">
        <v>55</v>
      </c>
      <c r="B2" s="25">
        <v>55</v>
      </c>
      <c r="C2" s="25">
        <f ca="1">RANDBETWEEN(50,66)</f>
        <v>66</v>
      </c>
      <c r="D2" s="25">
        <f ca="1">RANDBETWEEN(55,66)</f>
        <v>59</v>
      </c>
      <c r="E2" s="27">
        <f t="shared" ref="E2:E8" ca="1" si="0">RANDBETWEEN(50,66)</f>
        <v>53</v>
      </c>
      <c r="F2" s="31" t="s">
        <v>108</v>
      </c>
      <c r="G2" s="35">
        <v>70</v>
      </c>
    </row>
    <row r="3" spans="1:7" x14ac:dyDescent="0.25">
      <c r="A3" s="26" t="s">
        <v>102</v>
      </c>
      <c r="B3" s="25">
        <v>62</v>
      </c>
      <c r="C3" s="25">
        <f t="shared" ref="C3:C8" ca="1" si="1">RANDBETWEEN(50,66)</f>
        <v>51</v>
      </c>
      <c r="D3" s="25">
        <f t="shared" ref="D3:D8" ca="1" si="2">RANDBETWEEN(55,66)</f>
        <v>60</v>
      </c>
      <c r="E3" s="27">
        <f t="shared" ca="1" si="0"/>
        <v>51</v>
      </c>
      <c r="F3" s="32" t="s">
        <v>109</v>
      </c>
      <c r="G3" s="25">
        <v>65</v>
      </c>
    </row>
    <row r="4" spans="1:7" x14ac:dyDescent="0.25">
      <c r="A4" s="26" t="s">
        <v>103</v>
      </c>
      <c r="B4" s="25">
        <v>50</v>
      </c>
      <c r="C4" s="25">
        <f t="shared" ca="1" si="1"/>
        <v>61</v>
      </c>
      <c r="D4" s="25">
        <f t="shared" ca="1" si="2"/>
        <v>62</v>
      </c>
      <c r="E4" s="27">
        <f t="shared" ca="1" si="0"/>
        <v>55</v>
      </c>
      <c r="F4" s="32" t="s">
        <v>110</v>
      </c>
      <c r="G4" s="25"/>
    </row>
    <row r="5" spans="1:7" x14ac:dyDescent="0.25">
      <c r="A5" s="26" t="s">
        <v>104</v>
      </c>
      <c r="B5" s="25">
        <v>52</v>
      </c>
      <c r="C5" s="25">
        <f t="shared" ca="1" si="1"/>
        <v>51</v>
      </c>
      <c r="D5" s="25">
        <f t="shared" ca="1" si="2"/>
        <v>56</v>
      </c>
      <c r="E5" s="27">
        <f t="shared" ca="1" si="0"/>
        <v>61</v>
      </c>
      <c r="F5" s="32" t="s">
        <v>111</v>
      </c>
      <c r="G5" s="25"/>
    </row>
    <row r="6" spans="1:7" x14ac:dyDescent="0.25">
      <c r="A6" s="26" t="s">
        <v>105</v>
      </c>
      <c r="B6" s="25">
        <v>55</v>
      </c>
      <c r="C6" s="25">
        <f t="shared" ca="1" si="1"/>
        <v>55</v>
      </c>
      <c r="D6" s="25">
        <f t="shared" ca="1" si="2"/>
        <v>64</v>
      </c>
      <c r="E6" s="27">
        <f t="shared" ca="1" si="0"/>
        <v>56</v>
      </c>
      <c r="F6" s="32" t="s">
        <v>112</v>
      </c>
      <c r="G6" s="25"/>
    </row>
    <row r="7" spans="1:7" x14ac:dyDescent="0.25">
      <c r="A7" s="26" t="s">
        <v>56</v>
      </c>
      <c r="B7" s="25">
        <v>54</v>
      </c>
      <c r="C7" s="25">
        <f t="shared" ca="1" si="1"/>
        <v>60</v>
      </c>
      <c r="D7" s="25">
        <f t="shared" ca="1" si="2"/>
        <v>62</v>
      </c>
      <c r="E7" s="27">
        <f t="shared" ca="1" si="0"/>
        <v>53</v>
      </c>
      <c r="F7" s="32" t="s">
        <v>113</v>
      </c>
      <c r="G7" s="25"/>
    </row>
    <row r="8" spans="1:7" x14ac:dyDescent="0.25">
      <c r="A8" s="28" t="s">
        <v>106</v>
      </c>
      <c r="B8" s="29">
        <v>56</v>
      </c>
      <c r="C8" s="29">
        <f t="shared" ca="1" si="1"/>
        <v>66</v>
      </c>
      <c r="D8" s="29">
        <f t="shared" ca="1" si="2"/>
        <v>61</v>
      </c>
      <c r="E8" s="30">
        <f t="shared" ca="1" si="0"/>
        <v>56</v>
      </c>
      <c r="F8" s="33" t="s">
        <v>114</v>
      </c>
      <c r="G8" s="29"/>
    </row>
    <row r="10" spans="1:7" x14ac:dyDescent="0.25">
      <c r="E10">
        <f ca="1">SUMIF(D2:D8,64,E2:E8)</f>
        <v>56</v>
      </c>
    </row>
    <row r="11" spans="1:7" x14ac:dyDescent="0.25">
      <c r="E11">
        <f ca="1">SUMIFS(E2:E8,B2:B8,50)</f>
        <v>55</v>
      </c>
    </row>
    <row r="12" spans="1:7" x14ac:dyDescent="0.25">
      <c r="A12" t="s">
        <v>105</v>
      </c>
      <c r="D12" t="str">
        <f>_xlfn.XLOOKUP(B8,maths,student_name)</f>
        <v>roman</v>
      </c>
    </row>
    <row r="13" spans="1:7" x14ac:dyDescent="0.25">
      <c r="D13">
        <f>MATCH(A12,student_name,0)</f>
        <v>5</v>
      </c>
    </row>
    <row r="14" spans="1:7" x14ac:dyDescent="0.25">
      <c r="D14" t="str">
        <f>INDEX(student_name,4)</f>
        <v>raj</v>
      </c>
    </row>
    <row r="15" spans="1:7" x14ac:dyDescent="0.25">
      <c r="D15">
        <f>VLOOKUP(A12,Table2[#All],2)</f>
        <v>55</v>
      </c>
    </row>
  </sheetData>
  <dataValidations count="4">
    <dataValidation type="whole" allowBlank="1" showInputMessage="1" showErrorMessage="1" sqref="G5:G8" xr:uid="{E6410891-7444-4BF1-B7B4-03F6C9E22C50}">
      <formula1>80</formula1>
      <formula2>88</formula2>
    </dataValidation>
    <dataValidation type="whole" errorStyle="warning" allowBlank="1" showInputMessage="1" showErrorMessage="1" sqref="G2" xr:uid="{A3F16F2C-D135-4F24-9CD7-6691037A798A}">
      <formula1>80</formula1>
      <formula2>88</formula2>
    </dataValidation>
    <dataValidation type="whole" errorStyle="information" allowBlank="1" showInputMessage="1" showErrorMessage="1" sqref="G3" xr:uid="{7FB397A4-004D-4103-BF94-C06BAB8B8D17}">
      <formula1>80</formula1>
      <formula2>88</formula2>
    </dataValidation>
    <dataValidation type="whole" allowBlank="1" showInputMessage="1" showErrorMessage="1" prompt="stop sujal" sqref="G4" xr:uid="{18A5BDCD-FDB3-4829-96E5-51EF3D194E82}">
      <formula1>80</formula1>
      <formula2>88</formula2>
    </dataValidation>
  </dataValidations>
  <hyperlinks>
    <hyperlink ref="F2" r:id="rId1" xr:uid="{3CDCEBA4-4316-4C8D-AF88-C77C1274C046}"/>
    <hyperlink ref="F3" r:id="rId2" xr:uid="{0E283A4E-2D31-4D1E-8018-8784D140A7AE}"/>
    <hyperlink ref="F4" r:id="rId3" xr:uid="{00A6A04A-4C73-42F9-9A73-74BA05204A45}"/>
    <hyperlink ref="F5" r:id="rId4" xr:uid="{C221CDA5-5711-400C-9955-AC25F81B33D8}"/>
    <hyperlink ref="F6" r:id="rId5" xr:uid="{156F7A13-5437-424D-9CAD-C27F3336597A}"/>
    <hyperlink ref="F7" r:id="rId6" xr:uid="{F559ED4F-FEFE-459F-A73C-AFC7A86EF6C0}"/>
    <hyperlink ref="F8" r:id="rId7" xr:uid="{E6A873A7-0664-4568-B1D1-6B4398BE64B0}"/>
  </hyperlinks>
  <pageMargins left="0.7" right="0.7" top="0.75" bottom="0.75" header="0.3" footer="0.3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0E29-7FDB-4CC3-9BB6-9F3D7D1478D3}">
  <dimension ref="A1:E5"/>
  <sheetViews>
    <sheetView workbookViewId="0">
      <selection activeCell="E3" sqref="E3"/>
    </sheetView>
  </sheetViews>
  <sheetFormatPr defaultRowHeight="15" x14ac:dyDescent="0.25"/>
  <sheetData>
    <row r="1" spans="1:5" x14ac:dyDescent="0.25">
      <c r="A1" s="25" t="s">
        <v>81</v>
      </c>
      <c r="B1" s="25" t="s">
        <v>82</v>
      </c>
      <c r="C1" s="25" t="s">
        <v>83</v>
      </c>
    </row>
    <row r="2" spans="1:5" x14ac:dyDescent="0.25">
      <c r="A2" s="25">
        <v>22</v>
      </c>
      <c r="B2" s="25">
        <v>33</v>
      </c>
      <c r="C2" s="25">
        <v>44</v>
      </c>
    </row>
    <row r="5" spans="1:5" x14ac:dyDescent="0.25">
      <c r="E5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0ECD7-39B1-4B1D-84D6-92D390A17790}">
  <dimension ref="A1:C2"/>
  <sheetViews>
    <sheetView workbookViewId="0">
      <selection activeCell="E11" sqref="E11"/>
    </sheetView>
  </sheetViews>
  <sheetFormatPr defaultRowHeight="15" x14ac:dyDescent="0.25"/>
  <sheetData>
    <row r="1" spans="1:3" x14ac:dyDescent="0.25">
      <c r="A1" s="25" t="s">
        <v>84</v>
      </c>
      <c r="B1" s="25" t="s">
        <v>85</v>
      </c>
      <c r="C1" s="25" t="s">
        <v>86</v>
      </c>
    </row>
    <row r="2" spans="1:3" x14ac:dyDescent="0.25">
      <c r="A2" s="25">
        <v>66</v>
      </c>
      <c r="B2" s="25">
        <v>55</v>
      </c>
      <c r="C2" s="25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CCBD4-07A2-45B7-8425-D2EE7667E726}">
  <dimension ref="A1:C2"/>
  <sheetViews>
    <sheetView workbookViewId="0">
      <selection activeCell="G21" sqref="G21"/>
    </sheetView>
  </sheetViews>
  <sheetFormatPr defaultRowHeight="15" x14ac:dyDescent="0.25"/>
  <sheetData>
    <row r="1" spans="1:3" x14ac:dyDescent="0.25">
      <c r="A1" s="25" t="s">
        <v>87</v>
      </c>
      <c r="B1" s="25" t="s">
        <v>88</v>
      </c>
      <c r="C1" s="25" t="s">
        <v>89</v>
      </c>
    </row>
    <row r="2" spans="1:3" x14ac:dyDescent="0.25">
      <c r="A2" s="25">
        <v>99</v>
      </c>
      <c r="B2" s="25">
        <v>22</v>
      </c>
      <c r="C2" s="25">
        <v>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D990D-825E-4B18-92B4-577FAB4651EE}">
  <dimension ref="A2:C5"/>
  <sheetViews>
    <sheetView workbookViewId="0">
      <selection activeCell="D18" sqref="D18"/>
    </sheetView>
  </sheetViews>
  <sheetFormatPr defaultRowHeight="15" outlineLevelRow="1" x14ac:dyDescent="0.25"/>
  <sheetData>
    <row r="2" spans="1:3" outlineLevel="1" x14ac:dyDescent="0.25">
      <c r="A2">
        <f>Sheet3!$A$2</f>
        <v>22</v>
      </c>
      <c r="B2">
        <f>Sheet3!$B$2</f>
        <v>33</v>
      </c>
      <c r="C2">
        <f>Sheet3!$C$2</f>
        <v>44</v>
      </c>
    </row>
    <row r="3" spans="1:3" outlineLevel="1" collapsed="1" x14ac:dyDescent="0.25">
      <c r="A3">
        <f>Sheet4!$A$2</f>
        <v>66</v>
      </c>
      <c r="B3">
        <f>Sheet4!$B$2</f>
        <v>55</v>
      </c>
      <c r="C3">
        <f>Sheet4!$C$2</f>
        <v>44</v>
      </c>
    </row>
    <row r="4" spans="1:3" outlineLevel="1" collapsed="1" x14ac:dyDescent="0.25">
      <c r="A4">
        <f>Sheet5!$A$2</f>
        <v>99</v>
      </c>
      <c r="B4">
        <f>Sheet5!$B$2</f>
        <v>22</v>
      </c>
      <c r="C4">
        <f>Sheet5!$C$2</f>
        <v>11</v>
      </c>
    </row>
    <row r="5" spans="1:3" x14ac:dyDescent="0.25">
      <c r="A5">
        <f>SUM(A2:A4)</f>
        <v>187</v>
      </c>
      <c r="B5">
        <f>SUM(B2:B4)</f>
        <v>110</v>
      </c>
      <c r="C5">
        <f>SUM(C2:C4)</f>
        <v>99</v>
      </c>
    </row>
  </sheetData>
  <dataConsolidate link="1">
    <dataRefs count="3">
      <dataRef ref="A1:C2" sheet="Sheet3"/>
      <dataRef ref="A1:C2" sheet="Sheet4"/>
      <dataRef ref="A1:C2" sheet="Sheet5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Sheet1</vt:lpstr>
      <vt:lpstr>Sheet2</vt:lpstr>
      <vt:lpstr>Sheet3</vt:lpstr>
      <vt:lpstr>Sheet4</vt:lpstr>
      <vt:lpstr>Sheet5</vt:lpstr>
      <vt:lpstr>Sheet6</vt:lpstr>
      <vt:lpstr>chemistry</vt:lpstr>
      <vt:lpstr>english</vt:lpstr>
      <vt:lpstr>grade</vt:lpstr>
      <vt:lpstr>marks</vt:lpstr>
      <vt:lpstr>maths</vt:lpstr>
      <vt:lpstr>science</vt:lpstr>
      <vt:lpstr>Sheet2!student_name</vt:lpstr>
      <vt:lpstr>student_name</vt:lpstr>
      <vt:lpstr>subjects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Ingale</dc:creator>
  <cp:lastModifiedBy>Sujal Ingale</cp:lastModifiedBy>
  <dcterms:created xsi:type="dcterms:W3CDTF">2026-08-07T04:44:08Z</dcterms:created>
  <dcterms:modified xsi:type="dcterms:W3CDTF">2026-09-03T15:18:14Z</dcterms:modified>
</cp:coreProperties>
</file>
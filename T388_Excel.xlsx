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Admin\OneDrive\Documents\"/>
    </mc:Choice>
  </mc:AlternateContent>
  <xr:revisionPtr revIDLastSave="0" documentId="13_ncr:1_{A7D3DCB0-3088-46CA-B55D-1F93149D8A81}" xr6:coauthVersionLast="47" xr6:coauthVersionMax="47" xr10:uidLastSave="{00000000-0000-0000-0000-000000000000}"/>
  <bookViews>
    <workbookView xWindow="-108" yWindow="-108" windowWidth="23256" windowHeight="12456" xr2:uid="{97914E35-3EC5-46A0-9D29-D522FBEA4F09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Q10" i="1" l="1"/>
  <c r="Q9" i="1"/>
  <c r="X4" i="1"/>
  <c r="X3" i="1"/>
  <c r="R10" i="1"/>
  <c r="R9" i="1"/>
  <c r="L26" i="1"/>
  <c r="K11" i="1"/>
  <c r="K20" i="1"/>
  <c r="K16" i="1"/>
  <c r="K14" i="1"/>
  <c r="E6" i="1"/>
  <c r="F6" i="1" s="1"/>
  <c r="E3" i="1"/>
  <c r="F3" i="1" s="1"/>
  <c r="E4" i="1"/>
  <c r="F4" i="1" s="1"/>
  <c r="E5" i="1"/>
  <c r="F5" i="1" s="1"/>
  <c r="E2" i="1"/>
  <c r="F2" i="1" s="1"/>
</calcChain>
</file>

<file path=xl/sharedStrings.xml><?xml version="1.0" encoding="utf-8"?>
<sst xmlns="http://schemas.openxmlformats.org/spreadsheetml/2006/main" count="87" uniqueCount="50">
  <si>
    <t>ID</t>
  </si>
  <si>
    <t>NAME</t>
  </si>
  <si>
    <t>SALARY</t>
  </si>
  <si>
    <t>Suman</t>
  </si>
  <si>
    <t>Amar</t>
  </si>
  <si>
    <t>Kiran</t>
  </si>
  <si>
    <t>AGE</t>
  </si>
  <si>
    <t>ctrl+z</t>
  </si>
  <si>
    <t>undo</t>
  </si>
  <si>
    <t>BONUS</t>
  </si>
  <si>
    <t>ctrl+y</t>
  </si>
  <si>
    <t>redo</t>
  </si>
  <si>
    <t>ctrl+A</t>
  </si>
  <si>
    <t>SELECT ALL</t>
  </si>
  <si>
    <t>TOTAL SALARY</t>
  </si>
  <si>
    <t>ctrl+N</t>
  </si>
  <si>
    <t>NEW FILE</t>
  </si>
  <si>
    <t>Ajit Kumar</t>
  </si>
  <si>
    <t>ctrl+f</t>
  </si>
  <si>
    <t>To Find</t>
  </si>
  <si>
    <t>ctrl+h</t>
  </si>
  <si>
    <t>To Replace</t>
  </si>
  <si>
    <t>Aniket</t>
  </si>
  <si>
    <t>Marks</t>
  </si>
  <si>
    <t>ank.23@gmail.com</t>
  </si>
  <si>
    <t>suk.25@gmail.com</t>
  </si>
  <si>
    <t>kik.26@gmail.com</t>
  </si>
  <si>
    <t>amk.27@gmail.com</t>
  </si>
  <si>
    <t>ajk.25@gmail.com</t>
  </si>
  <si>
    <t>Raj</t>
  </si>
  <si>
    <t>GMAILS</t>
  </si>
  <si>
    <t>MONTH</t>
  </si>
  <si>
    <t>SHARE PRICE</t>
  </si>
  <si>
    <t>PRODUCT</t>
  </si>
  <si>
    <t>SOURCE</t>
  </si>
  <si>
    <t>REMARK</t>
  </si>
  <si>
    <t>UNIT PRICE</t>
  </si>
  <si>
    <t>QTY.</t>
  </si>
  <si>
    <t>SALES</t>
  </si>
  <si>
    <t>Banana</t>
  </si>
  <si>
    <t>Apple</t>
  </si>
  <si>
    <t>Tomato</t>
  </si>
  <si>
    <t>Green Peas</t>
  </si>
  <si>
    <t>Cherry</t>
  </si>
  <si>
    <t>Spinach</t>
  </si>
  <si>
    <t>Fresh</t>
  </si>
  <si>
    <t>Frozen</t>
  </si>
  <si>
    <t>Fruit</t>
  </si>
  <si>
    <t>Vegetable</t>
  </si>
  <si>
    <t>F21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</si>
</sst>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9" x14ac:knownFonts="1">
    <font>
      <sz val="11"/>
      <color theme="1"/>
      <name val="Calibri"/>
      <family val="2"/>
      <scheme val="minor"/>
    </font>
    <font>
      <i/>
      <sz val="11"/>
      <color theme="1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name val="Calibri"/>
      <family val="2"/>
      <scheme val="minor"/>
    </font>
    <font>
      <sz val="12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b/>
      <sz val="8"/>
      <color theme="1"/>
      <name val="Calibri"/>
      <family val="2"/>
      <scheme val="minor"/>
    </font>
    <font>
      <sz val="9"/>
      <color theme="1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4"/>
        <bgColor indexed="64"/>
      </patternFill>
    </fill>
    <fill>
      <patternFill patternType="solid">
        <fgColor rgb="FFFFFF00"/>
        <bgColor indexed="64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2">
    <xf numFmtId="0" fontId="0" fillId="0" borderId="0"/>
    <xf numFmtId="0" fontId="6" fillId="0" borderId="0" applyNumberFormat="0" applyFill="0" applyBorder="0" applyAlignment="0" applyProtection="0"/>
  </cellStyleXfs>
  <cellXfs count="14">
    <xf numFmtId="0" fontId="0" fillId="0" borderId="0" xfId="0"/>
    <xf numFmtId="0" fontId="1" fillId="0" borderId="0" xfId="0" applyFont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0" fontId="2" fillId="0" borderId="0" xfId="0" applyFont="1"/>
    <xf numFmtId="0" fontId="0" fillId="0" borderId="1" xfId="0" applyBorder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0" fontId="6" fillId="0" borderId="0" xfId="1"/>
    <xf numFmtId="0" fontId="1" fillId="0" borderId="2" xfId="0" applyFont="1" applyBorder="1" applyAlignment="1">
      <alignment horizontal="center" vertical="center"/>
    </xf>
    <xf numFmtId="0" fontId="1" fillId="2" borderId="2" xfId="0" applyFont="1" applyFill="1" applyBorder="1" applyAlignment="1">
      <alignment horizontal="center" vertical="center"/>
    </xf>
    <xf numFmtId="0" fontId="7" fillId="3" borderId="0" xfId="0" applyFont="1" applyFill="1" applyAlignment="1">
      <alignment horizontal="center"/>
    </xf>
    <xf numFmtId="0" fontId="0" fillId="0" borderId="0" xfId="0" applyAlignment="1">
      <alignment horizontal="center" vertical="center"/>
    </xf>
    <xf numFmtId="15" fontId="8" fillId="0" borderId="0" xfId="0" applyNumberFormat="1" applyFont="1" applyAlignment="1">
      <alignment horizontal="center" vertical="center"/>
    </xf>
    <xf numFmtId="0" fontId="5" fillId="3" borderId="0" xfId="0" applyFont="1" applyFill="1" applyAlignment="1">
      <alignment horizontal="center" vertical="center"/>
    </xf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hyperlink" Target="mailto:kik.26@gmail.com" TargetMode="External"/><Relationship Id="rId2" Type="http://schemas.openxmlformats.org/officeDocument/2006/relationships/hyperlink" Target="mailto:suk.25@gmail.com" TargetMode="External"/><Relationship Id="rId1" Type="http://schemas.openxmlformats.org/officeDocument/2006/relationships/hyperlink" Target="mailto:ank.23@gmail.com" TargetMode="External"/><Relationship Id="rId6" Type="http://schemas.openxmlformats.org/officeDocument/2006/relationships/printerSettings" Target="../printerSettings/printerSettings1.bin"/><Relationship Id="rId5" Type="http://schemas.openxmlformats.org/officeDocument/2006/relationships/hyperlink" Target="mailto:ajk.25@gmail.com" TargetMode="External"/><Relationship Id="rId4" Type="http://schemas.openxmlformats.org/officeDocument/2006/relationships/hyperlink" Target="mailto:amk.27@gmail.com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C74FB1-AD57-4850-AA87-E06A6A7A96BD}">
  <dimension ref="A1:X32"/>
  <sheetViews>
    <sheetView tabSelected="1" topLeftCell="K1" zoomScale="130" zoomScaleNormal="130" workbookViewId="0">
      <selection activeCell="Q11" sqref="Q11"/>
    </sheetView>
  </sheetViews>
  <sheetFormatPr defaultRowHeight="14.4" x14ac:dyDescent="0.3"/>
  <cols>
    <col min="4" max="4" width="10.5546875" bestFit="1" customWidth="1"/>
    <col min="6" max="6" width="13.77734375" style="4" bestFit="1" customWidth="1"/>
    <col min="7" max="7" width="17" bestFit="1" customWidth="1"/>
    <col min="8" max="8" width="11.77734375" bestFit="1" customWidth="1"/>
    <col min="10" max="10" width="11.77734375" bestFit="1" customWidth="1"/>
    <col min="15" max="15" width="10.21875" bestFit="1" customWidth="1"/>
    <col min="17" max="17" width="9.33203125" bestFit="1" customWidth="1"/>
    <col min="18" max="18" width="10.5546875" bestFit="1" customWidth="1"/>
  </cols>
  <sheetData>
    <row r="1" spans="1:24" x14ac:dyDescent="0.3">
      <c r="A1" s="2" t="s">
        <v>0</v>
      </c>
      <c r="B1" s="2" t="s">
        <v>6</v>
      </c>
      <c r="C1" s="2" t="s">
        <v>1</v>
      </c>
      <c r="D1" s="2" t="s">
        <v>2</v>
      </c>
      <c r="E1" s="2" t="s">
        <v>9</v>
      </c>
      <c r="F1" s="2" t="s">
        <v>14</v>
      </c>
      <c r="G1" s="9" t="s">
        <v>30</v>
      </c>
      <c r="I1" t="s">
        <v>7</v>
      </c>
      <c r="J1" t="s">
        <v>8</v>
      </c>
      <c r="O1" s="13" t="s">
        <v>33</v>
      </c>
      <c r="P1" s="13" t="s">
        <v>34</v>
      </c>
      <c r="Q1" s="13" t="s">
        <v>35</v>
      </c>
      <c r="R1" s="13" t="s">
        <v>36</v>
      </c>
      <c r="S1" s="13" t="s">
        <v>37</v>
      </c>
      <c r="T1" s="13" t="s">
        <v>38</v>
      </c>
      <c r="W1" s="11">
        <v>23</v>
      </c>
    </row>
    <row r="2" spans="1:24" x14ac:dyDescent="0.3">
      <c r="A2" s="3">
        <v>1</v>
      </c>
      <c r="B2" s="3">
        <v>23</v>
      </c>
      <c r="C2" s="3" t="s">
        <v>22</v>
      </c>
      <c r="D2" s="3">
        <v>23000</v>
      </c>
      <c r="E2" s="5">
        <f>D2*5%</f>
        <v>1150</v>
      </c>
      <c r="F2" s="5">
        <f>D2+E2</f>
        <v>24150</v>
      </c>
      <c r="G2" s="7" t="s">
        <v>24</v>
      </c>
      <c r="I2" t="s">
        <v>10</v>
      </c>
      <c r="J2" t="s">
        <v>11</v>
      </c>
      <c r="O2" s="11" t="s">
        <v>39</v>
      </c>
      <c r="P2" s="11" t="s">
        <v>45</v>
      </c>
      <c r="Q2" s="11" t="s">
        <v>47</v>
      </c>
      <c r="R2" s="11">
        <v>40</v>
      </c>
      <c r="S2" s="11">
        <v>2</v>
      </c>
      <c r="T2" s="11">
        <v>80</v>
      </c>
      <c r="W2" s="11">
        <v>24</v>
      </c>
    </row>
    <row r="3" spans="1:24" x14ac:dyDescent="0.3">
      <c r="A3" s="3">
        <v>2</v>
      </c>
      <c r="B3" s="3">
        <v>25</v>
      </c>
      <c r="C3" s="3" t="s">
        <v>3</v>
      </c>
      <c r="D3" s="3">
        <v>45000</v>
      </c>
      <c r="E3" s="5">
        <f t="shared" ref="E3:E6" si="0">D3*5%</f>
        <v>2250</v>
      </c>
      <c r="F3" s="5">
        <f t="shared" ref="F3:F5" si="1">D3+E3</f>
        <v>47250</v>
      </c>
      <c r="G3" s="7" t="s">
        <v>25</v>
      </c>
      <c r="I3" t="s">
        <v>12</v>
      </c>
      <c r="J3" t="s">
        <v>13</v>
      </c>
      <c r="O3" s="11" t="s">
        <v>40</v>
      </c>
      <c r="P3" s="11" t="s">
        <v>46</v>
      </c>
      <c r="Q3" s="11" t="s">
        <v>47</v>
      </c>
      <c r="R3" s="11">
        <v>120</v>
      </c>
      <c r="S3" s="11">
        <v>2</v>
      </c>
      <c r="T3" s="11">
        <v>240</v>
      </c>
      <c r="W3" s="11" t="b">
        <v>1</v>
      </c>
      <c r="X3">
        <f>COUNTA(W1:W6)</f>
        <v>6</v>
      </c>
    </row>
    <row r="4" spans="1:24" x14ac:dyDescent="0.3">
      <c r="A4" s="3">
        <v>3</v>
      </c>
      <c r="B4" s="3">
        <v>26</v>
      </c>
      <c r="C4" s="3" t="s">
        <v>5</v>
      </c>
      <c r="D4" s="3">
        <v>46000</v>
      </c>
      <c r="E4" s="5">
        <f t="shared" si="0"/>
        <v>2300</v>
      </c>
      <c r="F4" s="5">
        <f t="shared" si="1"/>
        <v>48300</v>
      </c>
      <c r="G4" s="7" t="s">
        <v>26</v>
      </c>
      <c r="I4" t="s">
        <v>15</v>
      </c>
      <c r="J4" t="s">
        <v>16</v>
      </c>
      <c r="O4" s="11" t="s">
        <v>41</v>
      </c>
      <c r="P4" s="11" t="s">
        <v>45</v>
      </c>
      <c r="Q4" s="11" t="s">
        <v>48</v>
      </c>
      <c r="R4" s="11">
        <v>60</v>
      </c>
      <c r="S4" s="11">
        <v>4</v>
      </c>
      <c r="T4" s="11">
        <v>240</v>
      </c>
      <c r="W4" s="11">
        <v>25</v>
      </c>
      <c r="X4">
        <f>COUNTBLANK(W1:W6)</f>
        <v>0</v>
      </c>
    </row>
    <row r="5" spans="1:24" x14ac:dyDescent="0.3">
      <c r="A5" s="3">
        <v>4</v>
      </c>
      <c r="B5" s="3">
        <v>27</v>
      </c>
      <c r="C5" s="3" t="s">
        <v>4</v>
      </c>
      <c r="D5" s="3">
        <v>30000</v>
      </c>
      <c r="E5" s="5">
        <f t="shared" si="0"/>
        <v>1500</v>
      </c>
      <c r="F5" s="5">
        <f t="shared" si="1"/>
        <v>31500</v>
      </c>
      <c r="G5" s="7" t="s">
        <v>27</v>
      </c>
      <c r="I5" t="s">
        <v>18</v>
      </c>
      <c r="J5" t="s">
        <v>19</v>
      </c>
      <c r="O5" s="11" t="s">
        <v>42</v>
      </c>
      <c r="P5" s="11" t="s">
        <v>46</v>
      </c>
      <c r="Q5" s="11" t="s">
        <v>48</v>
      </c>
      <c r="R5" s="11">
        <v>100</v>
      </c>
      <c r="S5" s="11">
        <v>3</v>
      </c>
      <c r="T5" s="11">
        <v>300</v>
      </c>
      <c r="W5" s="11" t="s">
        <v>49</v>
      </c>
    </row>
    <row r="6" spans="1:24" ht="15.6" x14ac:dyDescent="0.3">
      <c r="A6" s="3">
        <v>5</v>
      </c>
      <c r="B6" s="3">
        <v>25</v>
      </c>
      <c r="C6" s="3" t="s">
        <v>17</v>
      </c>
      <c r="D6" s="3">
        <v>25000</v>
      </c>
      <c r="E6" s="5">
        <f t="shared" si="0"/>
        <v>1250</v>
      </c>
      <c r="F6" s="6">
        <f>D6+E6</f>
        <v>26250</v>
      </c>
      <c r="G6" s="7" t="s">
        <v>28</v>
      </c>
      <c r="I6" t="s">
        <v>20</v>
      </c>
      <c r="J6" t="s">
        <v>21</v>
      </c>
      <c r="O6" s="11" t="s">
        <v>43</v>
      </c>
      <c r="P6" s="11" t="s">
        <v>46</v>
      </c>
      <c r="Q6" s="11" t="s">
        <v>47</v>
      </c>
      <c r="R6" s="11">
        <v>120</v>
      </c>
      <c r="S6" s="11">
        <v>6</v>
      </c>
      <c r="T6" s="11">
        <v>720</v>
      </c>
      <c r="W6" s="11">
        <v>30</v>
      </c>
    </row>
    <row r="7" spans="1:24" x14ac:dyDescent="0.3">
      <c r="A7" s="1"/>
      <c r="B7" s="1"/>
      <c r="C7" s="1"/>
      <c r="D7" s="1"/>
      <c r="O7" s="11" t="s">
        <v>44</v>
      </c>
      <c r="P7" s="11" t="s">
        <v>46</v>
      </c>
      <c r="Q7" s="11" t="s">
        <v>48</v>
      </c>
      <c r="R7" s="11">
        <v>25</v>
      </c>
      <c r="S7" s="11">
        <v>2</v>
      </c>
      <c r="T7" s="11">
        <v>50</v>
      </c>
    </row>
    <row r="8" spans="1:24" x14ac:dyDescent="0.3">
      <c r="A8" s="1"/>
      <c r="B8" s="1"/>
      <c r="C8" s="2" t="s">
        <v>1</v>
      </c>
      <c r="D8" s="2" t="s">
        <v>23</v>
      </c>
      <c r="F8" s="10" t="s">
        <v>31</v>
      </c>
      <c r="G8" s="10" t="s">
        <v>32</v>
      </c>
    </row>
    <row r="9" spans="1:24" x14ac:dyDescent="0.3">
      <c r="A9" s="1"/>
      <c r="B9" s="1"/>
      <c r="C9" s="3" t="s">
        <v>22</v>
      </c>
      <c r="D9" s="1">
        <v>30</v>
      </c>
      <c r="F9" s="12">
        <v>46023</v>
      </c>
      <c r="G9" s="11">
        <v>205</v>
      </c>
      <c r="I9">
        <v>200</v>
      </c>
      <c r="Q9">
        <f>COUNTIF(Q2:Q7,"Fruit")</f>
        <v>3</v>
      </c>
      <c r="R9">
        <f>SUMIF(Q2:Q7,"Fruit",S2:S7)</f>
        <v>10</v>
      </c>
    </row>
    <row r="10" spans="1:24" x14ac:dyDescent="0.3">
      <c r="A10" s="1"/>
      <c r="B10" s="1"/>
      <c r="C10" s="3" t="s">
        <v>4</v>
      </c>
      <c r="D10" s="1">
        <v>45</v>
      </c>
      <c r="F10" s="12">
        <v>46054</v>
      </c>
      <c r="G10" s="11">
        <v>206.7</v>
      </c>
      <c r="Q10">
        <f>COUNTIFS(P2:P7,"Frozen",Q2:Q7,"vegetable")</f>
        <v>2</v>
      </c>
      <c r="R10">
        <f>SUMIFS(S2:S7,P2:P7,"Frozen",Q2:Q7,"Fruit")</f>
        <v>8</v>
      </c>
    </row>
    <row r="11" spans="1:24" x14ac:dyDescent="0.3">
      <c r="A11" s="1"/>
      <c r="B11" s="1"/>
      <c r="C11" s="3" t="s">
        <v>5</v>
      </c>
      <c r="D11" s="1">
        <v>44</v>
      </c>
      <c r="F11" s="12">
        <v>46082</v>
      </c>
      <c r="G11" s="11">
        <v>205</v>
      </c>
      <c r="K11">
        <f>I9+I12</f>
        <v>600</v>
      </c>
    </row>
    <row r="12" spans="1:24" x14ac:dyDescent="0.3">
      <c r="A12" s="1"/>
      <c r="B12" s="1"/>
      <c r="C12" s="3" t="s">
        <v>17</v>
      </c>
      <c r="D12" s="1">
        <v>15</v>
      </c>
      <c r="F12" s="12">
        <v>46113</v>
      </c>
      <c r="G12" s="11">
        <v>207.1</v>
      </c>
      <c r="I12">
        <v>400</v>
      </c>
    </row>
    <row r="13" spans="1:24" x14ac:dyDescent="0.3">
      <c r="A13" s="1"/>
      <c r="B13" s="1"/>
      <c r="C13" s="8" t="s">
        <v>29</v>
      </c>
      <c r="D13" s="1">
        <v>45</v>
      </c>
      <c r="F13" s="12">
        <v>46143</v>
      </c>
      <c r="G13" s="11">
        <v>208.1</v>
      </c>
    </row>
    <row r="14" spans="1:24" x14ac:dyDescent="0.3">
      <c r="F14" s="12">
        <v>46174</v>
      </c>
      <c r="G14" s="11">
        <v>207.9</v>
      </c>
      <c r="K14">
        <f>I9*5</f>
        <v>1000</v>
      </c>
    </row>
    <row r="15" spans="1:24" x14ac:dyDescent="0.3">
      <c r="F15" s="12">
        <v>46204</v>
      </c>
      <c r="G15" s="11">
        <v>208.2</v>
      </c>
    </row>
    <row r="16" spans="1:24" x14ac:dyDescent="0.3">
      <c r="K16">
        <f>I12*6</f>
        <v>2400</v>
      </c>
    </row>
    <row r="17" spans="1:12" x14ac:dyDescent="0.3">
      <c r="I17">
        <v>1000</v>
      </c>
    </row>
    <row r="20" spans="1:12" x14ac:dyDescent="0.3">
      <c r="K20">
        <f>I17+55</f>
        <v>1055</v>
      </c>
    </row>
    <row r="23" spans="1:12" x14ac:dyDescent="0.3">
      <c r="A23" s="13" t="s">
        <v>33</v>
      </c>
      <c r="B23" s="13" t="s">
        <v>34</v>
      </c>
      <c r="C23" s="13" t="s">
        <v>35</v>
      </c>
      <c r="D23" s="13" t="s">
        <v>36</v>
      </c>
      <c r="E23" s="13" t="s">
        <v>37</v>
      </c>
      <c r="F23" s="13" t="s">
        <v>38</v>
      </c>
    </row>
    <row r="24" spans="1:12" x14ac:dyDescent="0.3">
      <c r="A24" s="11" t="s">
        <v>39</v>
      </c>
      <c r="B24" s="11" t="s">
        <v>45</v>
      </c>
      <c r="C24" s="11" t="s">
        <v>47</v>
      </c>
      <c r="D24" s="11">
        <v>40</v>
      </c>
      <c r="E24" s="11">
        <v>2</v>
      </c>
      <c r="F24" s="11">
        <v>80</v>
      </c>
    </row>
    <row r="25" spans="1:12" x14ac:dyDescent="0.3">
      <c r="A25" s="11" t="s">
        <v>40</v>
      </c>
      <c r="B25" s="11" t="s">
        <v>46</v>
      </c>
      <c r="C25" s="11" t="s">
        <v>47</v>
      </c>
      <c r="D25" s="11">
        <v>120</v>
      </c>
      <c r="E25" s="11">
        <v>2</v>
      </c>
      <c r="F25" s="11">
        <v>240</v>
      </c>
      <c r="J25">
        <v>200</v>
      </c>
    </row>
    <row r="26" spans="1:12" x14ac:dyDescent="0.3">
      <c r="A26" s="11" t="s">
        <v>41</v>
      </c>
      <c r="B26" s="11" t="s">
        <v>45</v>
      </c>
      <c r="C26" s="11" t="s">
        <v>48</v>
      </c>
      <c r="D26" s="11">
        <v>60</v>
      </c>
      <c r="E26" s="11">
        <v>4</v>
      </c>
      <c r="F26" s="11">
        <v>240</v>
      </c>
      <c r="L26">
        <f>J25+J27</f>
        <v>500</v>
      </c>
    </row>
    <row r="27" spans="1:12" x14ac:dyDescent="0.3">
      <c r="A27" s="11" t="s">
        <v>42</v>
      </c>
      <c r="B27" s="11" t="s">
        <v>46</v>
      </c>
      <c r="C27" s="11" t="s">
        <v>48</v>
      </c>
      <c r="D27" s="11">
        <v>100</v>
      </c>
      <c r="E27" s="11">
        <v>3</v>
      </c>
      <c r="F27" s="11">
        <v>300</v>
      </c>
      <c r="J27">
        <v>300</v>
      </c>
    </row>
    <row r="28" spans="1:12" x14ac:dyDescent="0.3">
      <c r="A28" s="11" t="s">
        <v>43</v>
      </c>
      <c r="B28" s="11" t="s">
        <v>46</v>
      </c>
      <c r="C28" s="11" t="s">
        <v>47</v>
      </c>
      <c r="D28" s="11">
        <v>120</v>
      </c>
      <c r="E28" s="11">
        <v>6</v>
      </c>
      <c r="F28" s="11">
        <v>720</v>
      </c>
    </row>
    <row r="29" spans="1:12" x14ac:dyDescent="0.3">
      <c r="A29" s="11" t="s">
        <v>44</v>
      </c>
      <c r="B29" s="11" t="s">
        <v>46</v>
      </c>
      <c r="C29" s="11" t="s">
        <v>48</v>
      </c>
      <c r="D29" s="11">
        <v>25</v>
      </c>
      <c r="E29" s="11">
        <v>2</v>
      </c>
      <c r="F29" s="11">
        <v>50</v>
      </c>
    </row>
    <row r="30" spans="1:12" x14ac:dyDescent="0.3">
      <c r="A30" s="13"/>
      <c r="B30" s="13"/>
      <c r="C30" s="13"/>
      <c r="D30" s="13"/>
      <c r="E30" s="13"/>
      <c r="F30" s="13"/>
    </row>
    <row r="31" spans="1:12" x14ac:dyDescent="0.3">
      <c r="A31" s="11"/>
      <c r="B31" s="11"/>
      <c r="C31" s="11"/>
      <c r="D31" s="11"/>
      <c r="E31" s="11"/>
      <c r="F31" s="11"/>
    </row>
    <row r="32" spans="1:12" x14ac:dyDescent="0.3">
      <c r="A32" s="11"/>
      <c r="B32" s="11"/>
      <c r="C32" s="11"/>
      <c r="D32" s="11"/>
      <c r="E32" s="11"/>
      <c r="F32" s="11"/>
    </row>
  </sheetData>
  <phoneticPr fontId="3" type="noConversion"/>
  <conditionalFormatting sqref="D8:D13">
    <cfRule type="dataBar" priority="4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{48A0BBBF-327F-4F1E-9441-CADF718150DB}</x14:id>
        </ext>
      </extLst>
    </cfRule>
  </conditionalFormatting>
  <hyperlinks>
    <hyperlink ref="G2" r:id="rId1" xr:uid="{8CDFE076-B84D-47F7-81DC-EBE01424DE7D}"/>
    <hyperlink ref="G3" r:id="rId2" xr:uid="{37DF5225-85FB-4F03-81A8-4A159C453842}"/>
    <hyperlink ref="G4" r:id="rId3" xr:uid="{450BF1C8-AF3C-42FA-A402-88E9E5A8AD6E}"/>
    <hyperlink ref="G5" r:id="rId4" xr:uid="{D09DE00B-C751-41DE-9407-23E1A969194B}"/>
    <hyperlink ref="G6" r:id="rId5" xr:uid="{CE0B6BFB-416D-4DC4-89A9-32AEA3FCD8B9}"/>
  </hyperlinks>
  <pageMargins left="0.7" right="0.7" top="0.75" bottom="0.75" header="0.3" footer="0.3"/>
  <pageSetup orientation="portrait" r:id="rId6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48A0BBBF-327F-4F1E-9441-CADF718150DB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D8:D13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Sujal Ingale</dc:creator>
  <cp:lastModifiedBy>Sujal Ingale</cp:lastModifiedBy>
  <dcterms:created xsi:type="dcterms:W3CDTF">2026-08-07T04:44:08Z</dcterms:created>
  <dcterms:modified xsi:type="dcterms:W3CDTF">2026-08-14T15:22:13Z</dcterms:modified>
</cp:coreProperties>
</file>